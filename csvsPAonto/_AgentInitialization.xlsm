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 activeTab="4"/>
  </bookViews>
  <sheets>
    <sheet name="0Prefixes" sheetId="19" r:id="rId1"/>
    <sheet name="1Classes" sheetId="4" r:id="rId2"/>
    <sheet name="2ObjectProperties" sheetId="17" r:id="rId3"/>
    <sheet name="3DatatypeProperties" sheetId="18" r:id="rId4"/>
    <sheet name="4Instances" sheetId="12" r:id="rId5"/>
    <sheet name="FeatProcMapping" sheetId="1" r:id="rId6"/>
    <sheet name="ProcResMapping" sheetId="3" r:id="rId7"/>
    <sheet name="FeatFeatMetaRequires" sheetId="22" r:id="rId8"/>
    <sheet name="FeatFeatMetaConflicts" sheetId="21" r:id="rId9"/>
    <sheet name="FeatFeatMetaPrecedes" sheetId="20" r:id="rId10"/>
    <sheet name="ProcProcMetaMapping" sheetId="7" r:id="rId11"/>
    <sheet name="ResLayout" sheetId="9" r:id="rId12"/>
    <sheet name="ProcessFunctional" sheetId="10" r:id="rId13"/>
    <sheet name="ResourceFunctional" sheetId="14" r:id="rId14"/>
    <sheet name="SpecFeatMapping" sheetId="16" r:id="rId15"/>
    <sheet name="SpecFunctional" sheetId="23" r:id="rId1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3" l="1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5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D41" i="22" l="1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E4" i="22" s="1" a="1"/>
  <c r="D5" i="22"/>
  <c r="U4" i="22" l="1"/>
  <c r="Q4" i="22"/>
  <c r="M4" i="22"/>
  <c r="I4" i="22"/>
  <c r="E4" i="22"/>
  <c r="W4" i="22"/>
  <c r="S4" i="22"/>
  <c r="O4" i="22"/>
  <c r="K4" i="22"/>
  <c r="G4" i="22"/>
  <c r="V4" i="22"/>
  <c r="R4" i="22"/>
  <c r="N4" i="22"/>
  <c r="J4" i="22"/>
  <c r="F4" i="22"/>
  <c r="X4" i="22"/>
  <c r="T4" i="22"/>
  <c r="P4" i="22"/>
  <c r="L4" i="22"/>
  <c r="H4" i="22"/>
  <c r="C27" i="10"/>
  <c r="C28" i="10"/>
  <c r="C29" i="10"/>
  <c r="C30" i="10"/>
  <c r="C31" i="10"/>
  <c r="C32" i="10"/>
  <c r="C33" i="10"/>
  <c r="L4" i="1"/>
  <c r="M4" i="16"/>
  <c r="C13" i="12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E4" i="21" s="1" a="1"/>
  <c r="X4" i="21" s="1"/>
  <c r="D9" i="21"/>
  <c r="D8" i="21"/>
  <c r="D7" i="21"/>
  <c r="D6" i="21"/>
  <c r="D5" i="21"/>
  <c r="G4" i="21" l="1"/>
  <c r="K4" i="21"/>
  <c r="O4" i="21"/>
  <c r="S4" i="21"/>
  <c r="W4" i="21"/>
  <c r="E4" i="21"/>
  <c r="I4" i="21"/>
  <c r="M4" i="21"/>
  <c r="Q4" i="21"/>
  <c r="U4" i="21"/>
  <c r="F4" i="21"/>
  <c r="J4" i="21"/>
  <c r="N4" i="21"/>
  <c r="R4" i="21"/>
  <c r="V4" i="21"/>
  <c r="H4" i="21"/>
  <c r="L4" i="21"/>
  <c r="P4" i="21"/>
  <c r="T4" i="21"/>
  <c r="E4" i="1"/>
  <c r="I6" i="12"/>
  <c r="I11" i="12"/>
  <c r="I14" i="12"/>
  <c r="I16" i="12"/>
  <c r="I22" i="12"/>
  <c r="F6" i="12"/>
  <c r="F11" i="12"/>
  <c r="F14" i="12"/>
  <c r="F16" i="12"/>
  <c r="F22" i="12"/>
  <c r="F4" i="16" l="1"/>
  <c r="E4" i="16"/>
  <c r="L4" i="16" l="1"/>
  <c r="K4" i="16"/>
  <c r="J4" i="16"/>
  <c r="I4" i="16"/>
  <c r="H4" i="16"/>
  <c r="G4" i="16"/>
  <c r="K4" i="1"/>
  <c r="J4" i="1"/>
  <c r="I4" i="1"/>
  <c r="H4" i="1"/>
  <c r="G4" i="1"/>
  <c r="F4" i="1"/>
  <c r="C6" i="12"/>
  <c r="C5" i="12"/>
  <c r="C11" i="12"/>
  <c r="C9" i="12"/>
  <c r="C7" i="12"/>
  <c r="D6" i="20" l="1"/>
  <c r="D7" i="20"/>
  <c r="D8" i="20"/>
  <c r="D9" i="20"/>
  <c r="D10" i="20"/>
  <c r="D11" i="20"/>
  <c r="D5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E4" i="20" l="1" a="1"/>
  <c r="U4" i="20" s="1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5" i="16"/>
  <c r="D6" i="16"/>
  <c r="L4" i="20" l="1"/>
  <c r="O4" i="20"/>
  <c r="I4" i="20"/>
  <c r="J4" i="20"/>
  <c r="X4" i="20"/>
  <c r="H4" i="20"/>
  <c r="K4" i="20"/>
  <c r="V4" i="20"/>
  <c r="F4" i="20"/>
  <c r="T4" i="20"/>
  <c r="W4" i="20"/>
  <c r="G4" i="20"/>
  <c r="R4" i="20"/>
  <c r="Q4" i="20"/>
  <c r="P4" i="20"/>
  <c r="S4" i="20"/>
  <c r="M4" i="20"/>
  <c r="N4" i="20"/>
  <c r="E4" i="20"/>
  <c r="C6" i="14" l="1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5" i="14"/>
  <c r="C42" i="14"/>
  <c r="D6" i="9" l="1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5" i="9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5" i="10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5" i="1"/>
  <c r="I5" i="12" l="1"/>
  <c r="F5" i="12"/>
  <c r="D32" i="7" l="1"/>
  <c r="D33" i="7"/>
  <c r="D34" i="7"/>
  <c r="D35" i="7"/>
  <c r="D36" i="7"/>
  <c r="D37" i="7"/>
  <c r="D38" i="7"/>
  <c r="D39" i="7"/>
  <c r="D40" i="7"/>
  <c r="D41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5" i="7"/>
  <c r="E4" i="7" l="1" a="1"/>
  <c r="F4" i="7" s="1"/>
  <c r="E4" i="9" a="1"/>
  <c r="E4" i="9" s="1"/>
  <c r="N4" i="7" l="1"/>
  <c r="K4" i="7"/>
  <c r="E4" i="7"/>
  <c r="P4" i="7"/>
  <c r="L4" i="7"/>
  <c r="R4" i="7"/>
  <c r="O4" i="7"/>
  <c r="M4" i="7"/>
  <c r="X4" i="7"/>
  <c r="T4" i="7"/>
  <c r="V4" i="7"/>
  <c r="S4" i="7"/>
  <c r="U4" i="7"/>
  <c r="I4" i="7"/>
  <c r="J4" i="7"/>
  <c r="G4" i="7"/>
  <c r="W4" i="7"/>
  <c r="H4" i="7"/>
  <c r="Q4" i="7"/>
  <c r="Q4" i="9"/>
  <c r="R4" i="9"/>
  <c r="K4" i="9"/>
  <c r="AA4" i="9"/>
  <c r="T4" i="9"/>
  <c r="N4" i="9"/>
  <c r="U4" i="9"/>
  <c r="V4" i="9"/>
  <c r="O4" i="9"/>
  <c r="H4" i="9"/>
  <c r="X4" i="9"/>
  <c r="I4" i="9"/>
  <c r="Y4" i="9"/>
  <c r="Z4" i="9"/>
  <c r="S4" i="9"/>
  <c r="L4" i="9"/>
  <c r="AB4" i="9"/>
  <c r="M4" i="9"/>
  <c r="J4" i="9"/>
  <c r="G4" i="9"/>
  <c r="W4" i="9"/>
  <c r="P4" i="9"/>
  <c r="F4" i="9"/>
</calcChain>
</file>

<file path=xl/sharedStrings.xml><?xml version="1.0" encoding="utf-8"?>
<sst xmlns="http://schemas.openxmlformats.org/spreadsheetml/2006/main" count="405" uniqueCount="176">
  <si>
    <t>Feature</t>
  </si>
  <si>
    <t>Resource</t>
  </si>
  <si>
    <t>x</t>
  </si>
  <si>
    <t>Process</t>
  </si>
  <si>
    <t>defines</t>
  </si>
  <si>
    <t>consistsOf</t>
  </si>
  <si>
    <t>has</t>
  </si>
  <si>
    <t>realizes</t>
  </si>
  <si>
    <t>describes</t>
  </si>
  <si>
    <t>D1</t>
  </si>
  <si>
    <t>D2</t>
  </si>
  <si>
    <t>D3</t>
  </si>
  <si>
    <t>D4</t>
  </si>
  <si>
    <t>D5</t>
  </si>
  <si>
    <t>L1</t>
  </si>
  <si>
    <t>L2</t>
  </si>
  <si>
    <t>I1</t>
  </si>
  <si>
    <t>I2</t>
  </si>
  <si>
    <t>I3</t>
  </si>
  <si>
    <t>H1</t>
  </si>
  <si>
    <t>H2</t>
  </si>
  <si>
    <t>H3</t>
  </si>
  <si>
    <t>H4</t>
  </si>
  <si>
    <t>H5</t>
  </si>
  <si>
    <t>H6</t>
  </si>
  <si>
    <t>neighbours</t>
  </si>
  <si>
    <t>xCoordinate</t>
  </si>
  <si>
    <t>yCoordinate</t>
  </si>
  <si>
    <t>specification</t>
  </si>
  <si>
    <t>capability</t>
  </si>
  <si>
    <t>feature</t>
  </si>
  <si>
    <t>product</t>
  </si>
  <si>
    <t>process</t>
  </si>
  <si>
    <t>resource</t>
  </si>
  <si>
    <t>requires</t>
  </si>
  <si>
    <t>capableOf</t>
  </si>
  <si>
    <t>B1</t>
  </si>
  <si>
    <t>B2</t>
  </si>
  <si>
    <t>B3</t>
  </si>
  <si>
    <t>B4</t>
  </si>
  <si>
    <t>B5</t>
  </si>
  <si>
    <t>precedes</t>
  </si>
  <si>
    <t>freeCapacity</t>
  </si>
  <si>
    <t>featDiff</t>
  </si>
  <si>
    <t>featIonImplant</t>
  </si>
  <si>
    <t>featLith</t>
  </si>
  <si>
    <t>resDiff</t>
  </si>
  <si>
    <t>resIonImplant</t>
  </si>
  <si>
    <t>resLith</t>
  </si>
  <si>
    <t>resHandl</t>
  </si>
  <si>
    <t>resBuff</t>
  </si>
  <si>
    <t>Fd1</t>
  </si>
  <si>
    <t>Fd2</t>
  </si>
  <si>
    <t>Fi1</t>
  </si>
  <si>
    <t>Fl1</t>
  </si>
  <si>
    <t>Fl2</t>
  </si>
  <si>
    <t>Fi2</t>
  </si>
  <si>
    <t>FeatureClass</t>
  </si>
  <si>
    <t>ProcessClass</t>
  </si>
  <si>
    <t>PD1</t>
  </si>
  <si>
    <t>diffusion</t>
  </si>
  <si>
    <t>ionImplantation</t>
  </si>
  <si>
    <t>lithography</t>
  </si>
  <si>
    <t>handling</t>
  </si>
  <si>
    <t>PD2</t>
  </si>
  <si>
    <t>PD3</t>
  </si>
  <si>
    <t>PD4</t>
  </si>
  <si>
    <t>PD5</t>
  </si>
  <si>
    <t>PL1</t>
  </si>
  <si>
    <t>PL2</t>
  </si>
  <si>
    <t>PI1</t>
  </si>
  <si>
    <t>PI2</t>
  </si>
  <si>
    <t>PI3</t>
  </si>
  <si>
    <t>PH1</t>
  </si>
  <si>
    <t>PH2</t>
  </si>
  <si>
    <t>PH3</t>
  </si>
  <si>
    <t>PH4</t>
  </si>
  <si>
    <t>PH5</t>
  </si>
  <si>
    <t>PH6</t>
  </si>
  <si>
    <t>PB1</t>
  </si>
  <si>
    <t>PB2</t>
  </si>
  <si>
    <t>PB3</t>
  </si>
  <si>
    <t>PB4</t>
  </si>
  <si>
    <t>buffering</t>
  </si>
  <si>
    <t>ResourceClass</t>
  </si>
  <si>
    <t>requiredCapacity</t>
  </si>
  <si>
    <t>rdfs:Class</t>
  </si>
  <si>
    <t>owl:ObjectProperty</t>
  </si>
  <si>
    <t>owl:DatatypeProperty</t>
  </si>
  <si>
    <t>rdfs:subClassOf</t>
  </si>
  <si>
    <t>:feature</t>
  </si>
  <si>
    <t>:process</t>
  </si>
  <si>
    <t>:resource</t>
  </si>
  <si>
    <t>:requiredCapacity</t>
  </si>
  <si>
    <t>:freeCapacity</t>
  </si>
  <si>
    <t>a</t>
  </si>
  <si>
    <t>:realizes</t>
  </si>
  <si>
    <t>:capableOf</t>
  </si>
  <si>
    <t>:requires</t>
  </si>
  <si>
    <t>:neighbours</t>
  </si>
  <si>
    <t>:</t>
  </si>
  <si>
    <t>Spec</t>
  </si>
  <si>
    <t>meta</t>
  </si>
  <si>
    <t>matrix</t>
  </si>
  <si>
    <t>func</t>
  </si>
  <si>
    <t>metamatrix</t>
  </si>
  <si>
    <t>tbox</t>
  </si>
  <si>
    <t>abox</t>
  </si>
  <si>
    <t>:defines</t>
  </si>
  <si>
    <t>spec</t>
  </si>
  <si>
    <t>:specification</t>
  </si>
  <si>
    <t>specTypeB</t>
  </si>
  <si>
    <t>specTypeA</t>
  </si>
  <si>
    <t>SpecClass</t>
  </si>
  <si>
    <t>specA1</t>
  </si>
  <si>
    <t>specA2</t>
  </si>
  <si>
    <t>specB1</t>
  </si>
  <si>
    <t>props</t>
  </si>
  <si>
    <t>xsd:float</t>
  </si>
  <si>
    <t>rdfs:subPropertyOf</t>
  </si>
  <si>
    <t>length</t>
  </si>
  <si>
    <t>width</t>
  </si>
  <si>
    <t>height</t>
  </si>
  <si>
    <t>zCoordinate</t>
  </si>
  <si>
    <t>rdfs:domain</t>
  </si>
  <si>
    <t>rdfs:range</t>
  </si>
  <si>
    <t>owl:FunctionalProperty</t>
  </si>
  <si>
    <t>owl:InverseFunctionalProperty</t>
  </si>
  <si>
    <t>owl:TransitiveProperty</t>
  </si>
  <si>
    <t>owl:SymmetricProperty</t>
  </si>
  <si>
    <t>owl:AsymmetricProperty</t>
  </si>
  <si>
    <t>owl:ReflexiveProperty</t>
  </si>
  <si>
    <t>owl:IrreflexiveProperty</t>
  </si>
  <si>
    <t>^^xsd:float</t>
  </si>
  <si>
    <t>prefixes</t>
  </si>
  <si>
    <t>general</t>
  </si>
  <si>
    <t>prefix</t>
  </si>
  <si>
    <t>abbreviation</t>
  </si>
  <si>
    <t>owl:</t>
  </si>
  <si>
    <t>rdf:</t>
  </si>
  <si>
    <t>rdfs:</t>
  </si>
  <si>
    <t>xsd:</t>
  </si>
  <si>
    <t>http://PAonto.com#</t>
  </si>
  <si>
    <t>http://www.w3.org/2002/07/owl#</t>
  </si>
  <si>
    <t>http://www.w3.org/1999/02/22-rdf-syntax-ns#type</t>
  </si>
  <si>
    <t>http://www.w3.org/2000/01/rdf-schema#</t>
  </si>
  <si>
    <t>http://www.w3.org/2001/XMLSchema#</t>
  </si>
  <si>
    <t>duration</t>
  </si>
  <si>
    <t>taxo</t>
  </si>
  <si>
    <t>fprecedes</t>
  </si>
  <si>
    <t>:fprecedes</t>
  </si>
  <si>
    <t>start</t>
  </si>
  <si>
    <t>end</t>
  </si>
  <si>
    <t>none</t>
  </si>
  <si>
    <t>all</t>
  </si>
  <si>
    <t>rollout</t>
  </si>
  <si>
    <t>lastResource</t>
  </si>
  <si>
    <t>EndRobot</t>
  </si>
  <si>
    <t>partToStorage</t>
  </si>
  <si>
    <t>fconflicts</t>
  </si>
  <si>
    <t>:fconflicts</t>
  </si>
  <si>
    <t>featConfl</t>
  </si>
  <si>
    <t>Fc1</t>
  </si>
  <si>
    <t>conflict</t>
  </si>
  <si>
    <t>resConfl</t>
  </si>
  <si>
    <t>C1</t>
  </si>
  <si>
    <t>:frequires</t>
  </si>
  <si>
    <t>frequires</t>
  </si>
  <si>
    <t>deadline</t>
  </si>
  <si>
    <t>xsd:dateTime</t>
  </si>
  <si>
    <t>2020-12-31T23:59:59</t>
  </si>
  <si>
    <t>^^xsd:dateTime</t>
  </si>
  <si>
    <t>:deadline</t>
  </si>
  <si>
    <t>PB5</t>
  </si>
  <si>
    <t>PC1</t>
  </si>
  <si>
    <t>specB2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</si>
</sst>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2" xfId="0" applyFill="1" applyBorder="1"/>
    <xf numFmtId="0" fontId="1" fillId="2" borderId="3" xfId="0" applyFont="1" applyFill="1" applyBorder="1"/>
    <xf numFmtId="0" fontId="0" fillId="2" borderId="3" xfId="0" applyFill="1" applyBorder="1"/>
    <xf numFmtId="0" fontId="1" fillId="2" borderId="4" xfId="0" applyFont="1" applyFill="1" applyBorder="1"/>
    <xf numFmtId="0" fontId="0" fillId="2" borderId="1" xfId="0" applyFill="1" applyBorder="1"/>
    <xf numFmtId="0" fontId="0" fillId="2" borderId="4" xfId="0" applyFill="1" applyBorder="1"/>
    <xf numFmtId="0" fontId="1" fillId="0" borderId="0" xfId="0" applyFont="1"/>
    <xf numFmtId="0" fontId="0" fillId="2" borderId="0" xfId="0" applyFill="1"/>
    <xf numFmtId="0" fontId="1" fillId="2" borderId="0" xfId="0" applyFont="1" applyFill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0" borderId="4" xfId="0" applyFill="1" applyBorder="1"/>
    <xf numFmtId="0" fontId="1" fillId="0" borderId="4" xfId="0" applyFont="1" applyFill="1" applyBorder="1"/>
    <xf numFmtId="0" fontId="0" fillId="0" borderId="5" xfId="0" applyFill="1" applyBorder="1"/>
    <xf numFmtId="0" fontId="1" fillId="0" borderId="3" xfId="0" applyFont="1" applyFill="1" applyBorder="1"/>
    <xf numFmtId="0" fontId="0" fillId="0" borderId="1" xfId="0" applyFill="1" applyBorder="1"/>
    <xf numFmtId="0" fontId="0" fillId="0" borderId="3" xfId="0" applyFill="1" applyBorder="1"/>
    <xf numFmtId="0" fontId="0" fillId="0" borderId="0" xfId="0" applyFont="1" applyFill="1"/>
    <xf numFmtId="0" fontId="0" fillId="0" borderId="0" xfId="0" applyFill="1" applyBorder="1"/>
    <xf numFmtId="0" fontId="1" fillId="0" borderId="0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619125</xdr:colOff>
          <xdr:row>4</xdr:row>
          <xdr:rowOff>114300</xdr:rowOff>
        </xdr:from>
        <xdr:to>
          <xdr:col>7</xdr:col>
          <xdr:colOff>533400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export2csv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D8"/>
  <sheetViews>
    <sheetView workbookViewId="0">
      <pane ySplit="3" topLeftCell="A4" activePane="bottomLeft" state="frozen"/>
      <selection pane="bottomLeft" activeCell="D14" sqref="D14"/>
    </sheetView>
  </sheetViews>
  <sheetFormatPr baseColWidth="10" defaultRowHeight="15" x14ac:dyDescent="0.25"/>
  <cols>
    <col min="3" max="3" width="12.28515625" bestFit="1" customWidth="1"/>
    <col min="4" max="4" width="62.140625" customWidth="1"/>
  </cols>
  <sheetData>
    <row r="1" spans="1:4" x14ac:dyDescent="0.25">
      <c r="A1" t="s">
        <v>134</v>
      </c>
      <c r="B1" t="s">
        <v>135</v>
      </c>
    </row>
    <row r="3" spans="1:4" s="7" customFormat="1" x14ac:dyDescent="0.25">
      <c r="C3" s="7" t="s">
        <v>137</v>
      </c>
      <c r="D3" s="7" t="s">
        <v>136</v>
      </c>
    </row>
    <row r="4" spans="1:4" x14ac:dyDescent="0.25">
      <c r="C4" t="s">
        <v>100</v>
      </c>
      <c r="D4" t="s">
        <v>142</v>
      </c>
    </row>
    <row r="5" spans="1:4" x14ac:dyDescent="0.25">
      <c r="C5" s="8" t="s">
        <v>138</v>
      </c>
      <c r="D5" s="8" t="s">
        <v>143</v>
      </c>
    </row>
    <row r="6" spans="1:4" x14ac:dyDescent="0.25">
      <c r="C6" s="8" t="s">
        <v>139</v>
      </c>
      <c r="D6" s="8" t="s">
        <v>144</v>
      </c>
    </row>
    <row r="7" spans="1:4" x14ac:dyDescent="0.25">
      <c r="C7" s="8" t="s">
        <v>140</v>
      </c>
      <c r="D7" s="8" t="s">
        <v>145</v>
      </c>
    </row>
    <row r="8" spans="1:4" x14ac:dyDescent="0.25">
      <c r="C8" s="8" t="s">
        <v>141</v>
      </c>
      <c r="D8" s="8" t="s">
        <v>146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SheetsToCSV">
                <anchor moveWithCells="1" sizeWithCells="1">
                  <from>
                    <xdr:col>5</xdr:col>
                    <xdr:colOff>619125</xdr:colOff>
                    <xdr:row>4</xdr:row>
                    <xdr:rowOff>114300</xdr:rowOff>
                  </from>
                  <to>
                    <xdr:col>7</xdr:col>
                    <xdr:colOff>533400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K11"/>
  <sheetViews>
    <sheetView workbookViewId="0">
      <pane ySplit="4" topLeftCell="A5" activePane="bottomLeft" state="frozen"/>
      <selection pane="bottomLeft" activeCell="H28" sqref="H28"/>
    </sheetView>
  </sheetViews>
  <sheetFormatPr baseColWidth="10" defaultRowHeight="15" x14ac:dyDescent="0.25"/>
  <cols>
    <col min="3" max="3" width="14.85546875" customWidth="1"/>
    <col min="5" max="5" width="22.85546875" customWidth="1"/>
    <col min="7" max="7" width="22.85546875" customWidth="1"/>
    <col min="9" max="9" width="22.85546875" customWidth="1"/>
    <col min="11" max="11" width="16.28515625" customWidth="1"/>
  </cols>
  <sheetData>
    <row r="1" spans="1:11" x14ac:dyDescent="0.25">
      <c r="A1" t="s">
        <v>102</v>
      </c>
      <c r="B1" t="s">
        <v>106</v>
      </c>
    </row>
    <row r="3" spans="1:11" x14ac:dyDescent="0.25">
      <c r="C3" t="s">
        <v>95</v>
      </c>
      <c r="E3" t="s">
        <v>89</v>
      </c>
      <c r="G3" t="s">
        <v>89</v>
      </c>
      <c r="I3" t="s">
        <v>89</v>
      </c>
      <c r="K3" t="s">
        <v>89</v>
      </c>
    </row>
    <row r="4" spans="1:11" s="7" customFormat="1" x14ac:dyDescent="0.25">
      <c r="C4" s="7" t="s">
        <v>86</v>
      </c>
      <c r="E4" s="7" t="s">
        <v>90</v>
      </c>
      <c r="G4" s="7" t="s">
        <v>91</v>
      </c>
      <c r="I4" s="7" t="s">
        <v>92</v>
      </c>
      <c r="K4" s="7" t="s">
        <v>110</v>
      </c>
    </row>
    <row r="5" spans="1:11" x14ac:dyDescent="0.25">
      <c r="C5" t="s">
        <v>28</v>
      </c>
      <c r="E5" s="8" t="s">
        <v>153</v>
      </c>
      <c r="G5" s="8" t="s">
        <v>155</v>
      </c>
      <c r="I5" s="8" t="s">
        <v>156</v>
      </c>
      <c r="K5" t="s">
        <v>112</v>
      </c>
    </row>
    <row r="6" spans="1:11" x14ac:dyDescent="0.25">
      <c r="C6" t="s">
        <v>29</v>
      </c>
      <c r="E6" s="8" t="s">
        <v>154</v>
      </c>
      <c r="G6" t="s">
        <v>60</v>
      </c>
      <c r="I6" t="s">
        <v>46</v>
      </c>
      <c r="K6" t="s">
        <v>111</v>
      </c>
    </row>
    <row r="7" spans="1:11" x14ac:dyDescent="0.25">
      <c r="C7" t="s">
        <v>30</v>
      </c>
      <c r="E7" t="s">
        <v>43</v>
      </c>
      <c r="G7" t="s">
        <v>61</v>
      </c>
      <c r="I7" t="s">
        <v>47</v>
      </c>
    </row>
    <row r="8" spans="1:11" x14ac:dyDescent="0.25">
      <c r="C8" t="s">
        <v>31</v>
      </c>
      <c r="E8" t="s">
        <v>44</v>
      </c>
      <c r="G8" t="s">
        <v>62</v>
      </c>
      <c r="I8" t="s">
        <v>48</v>
      </c>
    </row>
    <row r="9" spans="1:11" x14ac:dyDescent="0.25">
      <c r="C9" t="s">
        <v>32</v>
      </c>
      <c r="E9" t="s">
        <v>45</v>
      </c>
      <c r="G9" t="s">
        <v>63</v>
      </c>
      <c r="I9" t="s">
        <v>49</v>
      </c>
    </row>
    <row r="10" spans="1:11" x14ac:dyDescent="0.25">
      <c r="C10" t="s">
        <v>33</v>
      </c>
      <c r="E10" t="s">
        <v>161</v>
      </c>
      <c r="G10" t="s">
        <v>83</v>
      </c>
      <c r="I10" t="s">
        <v>50</v>
      </c>
    </row>
    <row r="11" spans="1:11" x14ac:dyDescent="0.25">
      <c r="G11" t="s">
        <v>163</v>
      </c>
      <c r="I11" t="s">
        <v>164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N16"/>
  <sheetViews>
    <sheetView workbookViewId="0">
      <pane ySplit="4" topLeftCell="A5" activePane="bottomLeft" state="frozen"/>
      <selection pane="bottomLeft" activeCell="K17" sqref="K17"/>
    </sheetView>
  </sheetViews>
  <sheetFormatPr baseColWidth="10" defaultRowHeight="15" x14ac:dyDescent="0.25"/>
  <cols>
    <col min="1" max="2" width="11.42578125" style="15"/>
    <col min="3" max="3" width="11" style="15" bestFit="1" customWidth="1"/>
    <col min="4" max="4" width="18.5703125" style="15" bestFit="1" customWidth="1"/>
    <col min="5" max="5" width="18.140625" style="15" bestFit="1" customWidth="1"/>
    <col min="6" max="6" width="11.7109375" style="15" bestFit="1" customWidth="1"/>
    <col min="7" max="7" width="10" style="15" bestFit="1" customWidth="1"/>
    <col min="8" max="8" width="22.140625" style="15" bestFit="1" customWidth="1"/>
    <col min="9" max="9" width="28.85546875" style="15" bestFit="1" customWidth="1"/>
    <col min="10" max="10" width="21.5703125" style="15" bestFit="1" customWidth="1"/>
    <col min="11" max="11" width="22.28515625" style="15" bestFit="1" customWidth="1"/>
    <col min="12" max="12" width="23.42578125" style="15" bestFit="1" customWidth="1"/>
    <col min="13" max="13" width="21.28515625" style="15" bestFit="1" customWidth="1"/>
    <col min="14" max="14" width="22.140625" style="15" bestFit="1" customWidth="1"/>
    <col min="15" max="16384" width="11.42578125" style="15"/>
  </cols>
  <sheetData>
    <row r="1" spans="1:14" x14ac:dyDescent="0.25">
      <c r="A1" s="15" t="s">
        <v>117</v>
      </c>
      <c r="B1" s="15" t="s">
        <v>106</v>
      </c>
    </row>
    <row r="3" spans="1:14" x14ac:dyDescent="0.25">
      <c r="D3" s="23" t="s">
        <v>95</v>
      </c>
      <c r="H3" s="15" t="s">
        <v>95</v>
      </c>
      <c r="I3" s="15" t="s">
        <v>95</v>
      </c>
      <c r="J3" s="15" t="s">
        <v>95</v>
      </c>
      <c r="K3" s="15" t="s">
        <v>95</v>
      </c>
      <c r="L3" s="15" t="s">
        <v>95</v>
      </c>
      <c r="M3" s="15" t="s">
        <v>95</v>
      </c>
      <c r="N3" s="15" t="s">
        <v>95</v>
      </c>
    </row>
    <row r="4" spans="1:14" s="14" customFormat="1" x14ac:dyDescent="0.25">
      <c r="D4" s="14" t="s">
        <v>87</v>
      </c>
      <c r="E4" s="14" t="s">
        <v>119</v>
      </c>
      <c r="F4" s="14" t="s">
        <v>124</v>
      </c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</row>
    <row r="5" spans="1:14" x14ac:dyDescent="0.25">
      <c r="C5" s="15" t="s">
        <v>4</v>
      </c>
      <c r="D5" s="15" t="s">
        <v>2</v>
      </c>
    </row>
    <row r="6" spans="1:14" x14ac:dyDescent="0.25">
      <c r="C6" s="15" t="s">
        <v>5</v>
      </c>
      <c r="D6" s="15" t="s">
        <v>2</v>
      </c>
      <c r="J6" s="15" t="s">
        <v>2</v>
      </c>
    </row>
    <row r="7" spans="1:14" x14ac:dyDescent="0.25">
      <c r="C7" s="15" t="s">
        <v>6</v>
      </c>
      <c r="D7" s="15" t="s">
        <v>2</v>
      </c>
    </row>
    <row r="8" spans="1:14" x14ac:dyDescent="0.25">
      <c r="C8" s="15" t="s">
        <v>7</v>
      </c>
      <c r="D8" s="15" t="s">
        <v>2</v>
      </c>
    </row>
    <row r="9" spans="1:14" x14ac:dyDescent="0.25">
      <c r="C9" s="15" t="s">
        <v>8</v>
      </c>
      <c r="D9" s="15" t="s">
        <v>2</v>
      </c>
    </row>
    <row r="10" spans="1:14" x14ac:dyDescent="0.25">
      <c r="C10" s="15" t="s">
        <v>34</v>
      </c>
      <c r="D10" s="15" t="s">
        <v>2</v>
      </c>
    </row>
    <row r="11" spans="1:14" x14ac:dyDescent="0.25">
      <c r="C11" s="15" t="s">
        <v>25</v>
      </c>
      <c r="D11" s="15" t="s">
        <v>2</v>
      </c>
      <c r="K11" s="15" t="s">
        <v>2</v>
      </c>
    </row>
    <row r="12" spans="1:14" x14ac:dyDescent="0.25">
      <c r="C12" s="15" t="s">
        <v>35</v>
      </c>
      <c r="D12" s="15" t="s">
        <v>2</v>
      </c>
    </row>
    <row r="13" spans="1:14" x14ac:dyDescent="0.25">
      <c r="C13" s="15" t="s">
        <v>41</v>
      </c>
      <c r="D13" s="15" t="s">
        <v>2</v>
      </c>
      <c r="J13" s="15" t="s">
        <v>2</v>
      </c>
    </row>
    <row r="14" spans="1:14" x14ac:dyDescent="0.25">
      <c r="C14" s="15" t="s">
        <v>149</v>
      </c>
      <c r="D14" s="15" t="s">
        <v>2</v>
      </c>
      <c r="J14" s="15" t="s">
        <v>2</v>
      </c>
    </row>
    <row r="15" spans="1:14" x14ac:dyDescent="0.25">
      <c r="C15" s="15" t="s">
        <v>159</v>
      </c>
      <c r="D15" s="15" t="s">
        <v>2</v>
      </c>
      <c r="K15" s="15" t="s">
        <v>2</v>
      </c>
    </row>
    <row r="16" spans="1:14" x14ac:dyDescent="0.25">
      <c r="C16" s="15" t="s">
        <v>167</v>
      </c>
      <c r="D16" s="15" t="s">
        <v>2</v>
      </c>
    </row>
  </sheetData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H14"/>
  <sheetViews>
    <sheetView workbookViewId="0">
      <pane ySplit="4" topLeftCell="A5" activePane="bottomLeft" state="frozen"/>
      <selection pane="bottomLeft" activeCell="H15" sqref="H15"/>
    </sheetView>
  </sheetViews>
  <sheetFormatPr baseColWidth="10" defaultRowHeight="15" x14ac:dyDescent="0.25"/>
  <cols>
    <col min="1" max="2" width="11.42578125" style="15"/>
    <col min="3" max="3" width="16.28515625" style="15" bestFit="1" customWidth="1"/>
    <col min="4" max="4" width="20.7109375" style="15" bestFit="1" customWidth="1"/>
    <col min="5" max="5" width="18.140625" style="15" bestFit="1" customWidth="1"/>
    <col min="6" max="6" width="11.7109375" style="15" bestFit="1" customWidth="1"/>
    <col min="7" max="7" width="10" style="15" bestFit="1" customWidth="1"/>
    <col min="8" max="8" width="22.140625" style="15" bestFit="1" customWidth="1"/>
    <col min="9" max="16384" width="11.42578125" style="15"/>
  </cols>
  <sheetData>
    <row r="1" spans="1:8" x14ac:dyDescent="0.25">
      <c r="A1" s="15" t="s">
        <v>117</v>
      </c>
      <c r="B1" s="15" t="s">
        <v>106</v>
      </c>
    </row>
    <row r="3" spans="1:8" x14ac:dyDescent="0.25">
      <c r="D3" s="23" t="s">
        <v>95</v>
      </c>
      <c r="H3" s="15" t="s">
        <v>95</v>
      </c>
    </row>
    <row r="4" spans="1:8" s="14" customFormat="1" x14ac:dyDescent="0.25">
      <c r="D4" s="14" t="s">
        <v>88</v>
      </c>
      <c r="E4" s="14" t="s">
        <v>119</v>
      </c>
      <c r="F4" s="14" t="s">
        <v>124</v>
      </c>
      <c r="G4" s="14" t="s">
        <v>125</v>
      </c>
      <c r="H4" s="14" t="s">
        <v>126</v>
      </c>
    </row>
    <row r="5" spans="1:8" s="23" customFormat="1" x14ac:dyDescent="0.25">
      <c r="C5" s="23" t="s">
        <v>120</v>
      </c>
      <c r="D5" s="23" t="s">
        <v>2</v>
      </c>
      <c r="E5" s="15"/>
      <c r="G5" s="23" t="s">
        <v>118</v>
      </c>
      <c r="H5" s="23" t="s">
        <v>2</v>
      </c>
    </row>
    <row r="6" spans="1:8" s="23" customFormat="1" x14ac:dyDescent="0.25">
      <c r="C6" s="23" t="s">
        <v>121</v>
      </c>
      <c r="D6" s="23" t="s">
        <v>2</v>
      </c>
      <c r="E6" s="15"/>
      <c r="G6" s="23" t="s">
        <v>118</v>
      </c>
      <c r="H6" s="23" t="s">
        <v>2</v>
      </c>
    </row>
    <row r="7" spans="1:8" s="23" customFormat="1" x14ac:dyDescent="0.25">
      <c r="C7" s="23" t="s">
        <v>122</v>
      </c>
      <c r="D7" s="23" t="s">
        <v>2</v>
      </c>
      <c r="E7" s="15"/>
      <c r="G7" s="23" t="s">
        <v>118</v>
      </c>
      <c r="H7" s="23" t="s">
        <v>2</v>
      </c>
    </row>
    <row r="8" spans="1:8" x14ac:dyDescent="0.25">
      <c r="C8" s="15" t="s">
        <v>26</v>
      </c>
      <c r="D8" s="23" t="s">
        <v>2</v>
      </c>
      <c r="G8" s="15" t="s">
        <v>118</v>
      </c>
      <c r="H8" s="15" t="s">
        <v>2</v>
      </c>
    </row>
    <row r="9" spans="1:8" x14ac:dyDescent="0.25">
      <c r="C9" s="15" t="s">
        <v>27</v>
      </c>
      <c r="D9" s="23" t="s">
        <v>2</v>
      </c>
      <c r="G9" s="15" t="s">
        <v>118</v>
      </c>
      <c r="H9" s="15" t="s">
        <v>2</v>
      </c>
    </row>
    <row r="10" spans="1:8" x14ac:dyDescent="0.25">
      <c r="C10" s="15" t="s">
        <v>123</v>
      </c>
      <c r="D10" s="23" t="s">
        <v>2</v>
      </c>
      <c r="G10" s="15" t="s">
        <v>118</v>
      </c>
      <c r="H10" s="15" t="s">
        <v>2</v>
      </c>
    </row>
    <row r="11" spans="1:8" x14ac:dyDescent="0.25">
      <c r="C11" s="15" t="s">
        <v>85</v>
      </c>
      <c r="D11" s="23" t="s">
        <v>2</v>
      </c>
      <c r="F11" s="15" t="s">
        <v>91</v>
      </c>
      <c r="G11" s="15" t="s">
        <v>118</v>
      </c>
      <c r="H11" s="15" t="s">
        <v>2</v>
      </c>
    </row>
    <row r="12" spans="1:8" x14ac:dyDescent="0.25">
      <c r="C12" s="15" t="s">
        <v>42</v>
      </c>
      <c r="D12" s="23" t="s">
        <v>2</v>
      </c>
      <c r="F12" s="15" t="s">
        <v>92</v>
      </c>
      <c r="G12" s="15" t="s">
        <v>118</v>
      </c>
      <c r="H12" s="15" t="s">
        <v>2</v>
      </c>
    </row>
    <row r="13" spans="1:8" x14ac:dyDescent="0.25">
      <c r="C13" s="15" t="s">
        <v>147</v>
      </c>
      <c r="D13" s="23" t="s">
        <v>2</v>
      </c>
      <c r="F13" s="15" t="s">
        <v>91</v>
      </c>
      <c r="G13" s="15" t="s">
        <v>118</v>
      </c>
      <c r="H13" s="15" t="s">
        <v>2</v>
      </c>
    </row>
    <row r="14" spans="1:8" x14ac:dyDescent="0.25">
      <c r="C14" s="15" t="s">
        <v>168</v>
      </c>
      <c r="D14" s="23" t="s">
        <v>2</v>
      </c>
      <c r="F14" s="15" t="s">
        <v>110</v>
      </c>
      <c r="G14" s="15" t="s">
        <v>169</v>
      </c>
      <c r="H14" s="15" t="s">
        <v>2</v>
      </c>
    </row>
  </sheetData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27"/>
  <sheetViews>
    <sheetView tabSelected="1" workbookViewId="0">
      <pane ySplit="4" topLeftCell="A5" activePane="bottomLeft" state="frozen"/>
      <selection pane="bottomLeft" activeCell="M18" sqref="M18"/>
    </sheetView>
  </sheetViews>
  <sheetFormatPr baseColWidth="10" defaultRowHeight="15" x14ac:dyDescent="0.25"/>
  <cols>
    <col min="3" max="3" width="15.7109375" customWidth="1"/>
    <col min="4" max="4" width="22.85546875" customWidth="1"/>
    <col min="6" max="6" width="15.7109375" customWidth="1"/>
    <col min="7" max="7" width="22.85546875" customWidth="1"/>
    <col min="9" max="9" width="15.7109375" customWidth="1"/>
    <col min="10" max="10" width="22.85546875" customWidth="1"/>
  </cols>
  <sheetData>
    <row r="1" spans="1:13" x14ac:dyDescent="0.25">
      <c r="A1" t="s">
        <v>148</v>
      </c>
      <c r="B1" t="s">
        <v>107</v>
      </c>
    </row>
    <row r="3" spans="1:13" x14ac:dyDescent="0.25">
      <c r="C3" t="s">
        <v>100</v>
      </c>
      <c r="D3" t="s">
        <v>95</v>
      </c>
      <c r="F3" t="s">
        <v>100</v>
      </c>
      <c r="G3" t="s">
        <v>95</v>
      </c>
      <c r="I3" t="s">
        <v>100</v>
      </c>
      <c r="J3" t="s">
        <v>95</v>
      </c>
      <c r="L3" t="s">
        <v>100</v>
      </c>
      <c r="M3" t="s">
        <v>95</v>
      </c>
    </row>
    <row r="4" spans="1:13" s="7" customFormat="1" x14ac:dyDescent="0.25">
      <c r="C4" s="7" t="s">
        <v>57</v>
      </c>
      <c r="D4" s="7" t="s">
        <v>0</v>
      </c>
      <c r="F4" s="7" t="s">
        <v>58</v>
      </c>
      <c r="G4" s="7" t="s">
        <v>3</v>
      </c>
      <c r="I4" s="7" t="s">
        <v>84</v>
      </c>
      <c r="J4" s="7" t="s">
        <v>1</v>
      </c>
      <c r="L4" s="7" t="s">
        <v>113</v>
      </c>
      <c r="M4" s="7" t="s">
        <v>109</v>
      </c>
    </row>
    <row r="5" spans="1:13" x14ac:dyDescent="0.25">
      <c r="C5" s="8" t="str">
        <f>'1Classes'!E5</f>
        <v>none</v>
      </c>
      <c r="D5" s="8" t="s">
        <v>151</v>
      </c>
      <c r="F5" s="8" t="str">
        <f>'1Classes'!G5</f>
        <v>rollout</v>
      </c>
      <c r="G5" s="8" t="s">
        <v>158</v>
      </c>
      <c r="I5" s="8" t="str">
        <f>'1Classes'!I5</f>
        <v>lastResource</v>
      </c>
      <c r="J5" s="8" t="s">
        <v>157</v>
      </c>
      <c r="L5" t="s">
        <v>112</v>
      </c>
      <c r="M5" t="s">
        <v>114</v>
      </c>
    </row>
    <row r="6" spans="1:13" x14ac:dyDescent="0.25">
      <c r="C6" s="8" t="str">
        <f>'1Classes'!E6</f>
        <v>all</v>
      </c>
      <c r="D6" s="8" t="s">
        <v>152</v>
      </c>
      <c r="F6" t="str">
        <f>'1Classes'!G6</f>
        <v>diffusion</v>
      </c>
      <c r="G6" t="s">
        <v>59</v>
      </c>
      <c r="I6" t="str">
        <f>'1Classes'!I6</f>
        <v>resDiff</v>
      </c>
      <c r="J6" t="s">
        <v>9</v>
      </c>
      <c r="M6" t="s">
        <v>115</v>
      </c>
    </row>
    <row r="7" spans="1:13" x14ac:dyDescent="0.25">
      <c r="C7" t="str">
        <f>'1Classes'!E7</f>
        <v>featDiff</v>
      </c>
      <c r="D7" t="s">
        <v>51</v>
      </c>
      <c r="G7" t="s">
        <v>64</v>
      </c>
      <c r="J7" t="s">
        <v>10</v>
      </c>
      <c r="L7" t="s">
        <v>111</v>
      </c>
      <c r="M7" t="s">
        <v>116</v>
      </c>
    </row>
    <row r="8" spans="1:13" x14ac:dyDescent="0.25">
      <c r="D8" t="s">
        <v>52</v>
      </c>
      <c r="G8" t="s">
        <v>65</v>
      </c>
      <c r="J8" t="s">
        <v>11</v>
      </c>
      <c r="M8" t="s">
        <v>175</v>
      </c>
    </row>
    <row r="9" spans="1:13" x14ac:dyDescent="0.25">
      <c r="C9" t="str">
        <f>'1Classes'!E8</f>
        <v>featIonImplant</v>
      </c>
      <c r="D9" t="s">
        <v>53</v>
      </c>
      <c r="G9" t="s">
        <v>66</v>
      </c>
      <c r="J9" t="s">
        <v>12</v>
      </c>
    </row>
    <row r="10" spans="1:13" x14ac:dyDescent="0.25">
      <c r="D10" t="s">
        <v>56</v>
      </c>
      <c r="G10" t="s">
        <v>67</v>
      </c>
      <c r="J10" t="s">
        <v>13</v>
      </c>
    </row>
    <row r="11" spans="1:13" x14ac:dyDescent="0.25">
      <c r="C11" t="str">
        <f>'1Classes'!E9</f>
        <v>featLith</v>
      </c>
      <c r="D11" t="s">
        <v>54</v>
      </c>
      <c r="F11" t="str">
        <f>'1Classes'!G7</f>
        <v>ionImplantation</v>
      </c>
      <c r="G11" t="s">
        <v>70</v>
      </c>
      <c r="I11" t="str">
        <f>'1Classes'!I7</f>
        <v>resIonImplant</v>
      </c>
      <c r="J11" t="s">
        <v>16</v>
      </c>
    </row>
    <row r="12" spans="1:13" x14ac:dyDescent="0.25">
      <c r="D12" t="s">
        <v>55</v>
      </c>
      <c r="G12" t="s">
        <v>71</v>
      </c>
      <c r="J12" t="s">
        <v>17</v>
      </c>
    </row>
    <row r="13" spans="1:13" x14ac:dyDescent="0.25">
      <c r="C13" t="str">
        <f>'1Classes'!E10</f>
        <v>featConfl</v>
      </c>
      <c r="D13" t="s">
        <v>162</v>
      </c>
      <c r="G13" t="s">
        <v>72</v>
      </c>
      <c r="J13" t="s">
        <v>18</v>
      </c>
    </row>
    <row r="14" spans="1:13" x14ac:dyDescent="0.25">
      <c r="F14" t="str">
        <f>'1Classes'!G8</f>
        <v>lithography</v>
      </c>
      <c r="G14" t="s">
        <v>68</v>
      </c>
      <c r="I14" t="str">
        <f>'1Classes'!I8</f>
        <v>resLith</v>
      </c>
      <c r="J14" t="s">
        <v>14</v>
      </c>
    </row>
    <row r="15" spans="1:13" x14ac:dyDescent="0.25">
      <c r="G15" t="s">
        <v>69</v>
      </c>
      <c r="J15" t="s">
        <v>15</v>
      </c>
    </row>
    <row r="16" spans="1:13" x14ac:dyDescent="0.25">
      <c r="F16" t="str">
        <f>'1Classes'!G9</f>
        <v>handling</v>
      </c>
      <c r="G16" t="s">
        <v>73</v>
      </c>
      <c r="I16" t="str">
        <f>'1Classes'!I9</f>
        <v>resHandl</v>
      </c>
      <c r="J16" t="s">
        <v>19</v>
      </c>
    </row>
    <row r="17" spans="6:10" x14ac:dyDescent="0.25">
      <c r="G17" t="s">
        <v>74</v>
      </c>
      <c r="J17" t="s">
        <v>20</v>
      </c>
    </row>
    <row r="18" spans="6:10" x14ac:dyDescent="0.25">
      <c r="G18" t="s">
        <v>75</v>
      </c>
      <c r="J18" t="s">
        <v>21</v>
      </c>
    </row>
    <row r="19" spans="6:10" x14ac:dyDescent="0.25">
      <c r="G19" t="s">
        <v>76</v>
      </c>
      <c r="J19" t="s">
        <v>22</v>
      </c>
    </row>
    <row r="20" spans="6:10" x14ac:dyDescent="0.25">
      <c r="G20" t="s">
        <v>77</v>
      </c>
      <c r="J20" t="s">
        <v>23</v>
      </c>
    </row>
    <row r="21" spans="6:10" x14ac:dyDescent="0.25">
      <c r="G21" t="s">
        <v>78</v>
      </c>
      <c r="J21" t="s">
        <v>24</v>
      </c>
    </row>
    <row r="22" spans="6:10" x14ac:dyDescent="0.25">
      <c r="F22" t="str">
        <f>'1Classes'!G10</f>
        <v>buffering</v>
      </c>
      <c r="G22" t="s">
        <v>79</v>
      </c>
      <c r="I22" t="str">
        <f>'1Classes'!I10</f>
        <v>resBuff</v>
      </c>
      <c r="J22" t="s">
        <v>36</v>
      </c>
    </row>
    <row r="23" spans="6:10" x14ac:dyDescent="0.25">
      <c r="G23" t="s">
        <v>80</v>
      </c>
      <c r="J23" t="s">
        <v>37</v>
      </c>
    </row>
    <row r="24" spans="6:10" x14ac:dyDescent="0.25">
      <c r="G24" t="s">
        <v>81</v>
      </c>
      <c r="J24" t="s">
        <v>38</v>
      </c>
    </row>
    <row r="25" spans="6:10" x14ac:dyDescent="0.25">
      <c r="G25" t="s">
        <v>82</v>
      </c>
      <c r="J25" t="s">
        <v>39</v>
      </c>
    </row>
    <row r="26" spans="6:10" x14ac:dyDescent="0.25">
      <c r="G26" t="s">
        <v>173</v>
      </c>
      <c r="J26" t="s">
        <v>40</v>
      </c>
    </row>
    <row r="27" spans="6:10" x14ac:dyDescent="0.25">
      <c r="F27" t="s">
        <v>163</v>
      </c>
      <c r="G27" t="s">
        <v>174</v>
      </c>
      <c r="I27" t="s">
        <v>164</v>
      </c>
      <c r="J27" t="s">
        <v>165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30"/>
  <sheetViews>
    <sheetView workbookViewId="0">
      <pane xSplit="4" ySplit="4" topLeftCell="E5" activePane="bottomRight" state="frozen"/>
      <selection pane="topRight" activeCell="D1" sqref="D1"/>
      <selection pane="bottomLeft" activeCell="A4" sqref="A4"/>
      <selection pane="bottomRight" activeCell="L36" sqref="L36"/>
    </sheetView>
  </sheetViews>
  <sheetFormatPr baseColWidth="10" defaultColWidth="9.140625" defaultRowHeight="15" x14ac:dyDescent="0.25"/>
  <cols>
    <col min="4" max="4" width="16.7109375" style="6" customWidth="1"/>
    <col min="5" max="5" width="9.140625" style="24" customWidth="1"/>
  </cols>
  <sheetData>
    <row r="1" spans="1:12" x14ac:dyDescent="0.25">
      <c r="A1" t="s">
        <v>103</v>
      </c>
      <c r="B1" t="s">
        <v>107</v>
      </c>
    </row>
    <row r="3" spans="1:12" x14ac:dyDescent="0.25">
      <c r="C3" t="s">
        <v>96</v>
      </c>
      <c r="D3" s="4" t="s">
        <v>0</v>
      </c>
      <c r="E3" s="25"/>
    </row>
    <row r="4" spans="1:12" s="3" customFormat="1" x14ac:dyDescent="0.25">
      <c r="A4" s="1"/>
      <c r="C4" s="2" t="s">
        <v>3</v>
      </c>
      <c r="D4" s="5"/>
      <c r="E4" s="3" t="str">
        <f>IF('4Instances'!D6&gt;0,'4Instances'!D6,"")</f>
        <v>end</v>
      </c>
      <c r="F4" s="3" t="str">
        <f>IF('4Instances'!D7&gt;0,'4Instances'!D7,"")</f>
        <v>Fd1</v>
      </c>
      <c r="G4" s="3" t="str">
        <f>IF('4Instances'!D8&gt;0,'4Instances'!D8,"")</f>
        <v>Fd2</v>
      </c>
      <c r="H4" s="3" t="str">
        <f>IF('4Instances'!D9&gt;0,'4Instances'!D9,"")</f>
        <v>Fi1</v>
      </c>
      <c r="I4" s="3" t="str">
        <f>IF('4Instances'!D10&gt;0,'4Instances'!D10,"")</f>
        <v>Fi2</v>
      </c>
      <c r="J4" s="3" t="str">
        <f>IF('4Instances'!D11&gt;0,'4Instances'!D11,"")</f>
        <v>Fl1</v>
      </c>
      <c r="K4" s="3" t="str">
        <f>IF('4Instances'!D12&gt;0,'4Instances'!D12,"")</f>
        <v>Fl2</v>
      </c>
      <c r="L4" s="3" t="str">
        <f>IF('4Instances'!D13&gt;0,'4Instances'!D13,"")</f>
        <v>Fc1</v>
      </c>
    </row>
    <row r="5" spans="1:12" x14ac:dyDescent="0.25">
      <c r="D5" s="6" t="str">
        <f>IF('4Instances'!G5&gt;0,'4Instances'!G5,"")</f>
        <v>partToStorage</v>
      </c>
      <c r="E5" s="24" t="s">
        <v>2</v>
      </c>
    </row>
    <row r="6" spans="1:12" x14ac:dyDescent="0.25">
      <c r="D6" s="6" t="str">
        <f>IF('4Instances'!G6&gt;0,'4Instances'!G6,"")</f>
        <v>PD1</v>
      </c>
      <c r="F6" t="s">
        <v>2</v>
      </c>
    </row>
    <row r="7" spans="1:12" x14ac:dyDescent="0.25">
      <c r="D7" s="6" t="str">
        <f>IF('4Instances'!G7&gt;0,'4Instances'!G7,"")</f>
        <v>PD2</v>
      </c>
      <c r="F7" t="s">
        <v>2</v>
      </c>
    </row>
    <row r="8" spans="1:12" x14ac:dyDescent="0.25">
      <c r="D8" s="6" t="str">
        <f>IF('4Instances'!G8&gt;0,'4Instances'!G8,"")</f>
        <v>PD3</v>
      </c>
      <c r="F8" t="s">
        <v>2</v>
      </c>
    </row>
    <row r="9" spans="1:12" x14ac:dyDescent="0.25">
      <c r="D9" s="6" t="str">
        <f>IF('4Instances'!G9&gt;0,'4Instances'!G9,"")</f>
        <v>PD4</v>
      </c>
      <c r="G9" t="s">
        <v>2</v>
      </c>
    </row>
    <row r="10" spans="1:12" x14ac:dyDescent="0.25">
      <c r="D10" s="6" t="str">
        <f>IF('4Instances'!G10&gt;0,'4Instances'!G10,"")</f>
        <v>PD5</v>
      </c>
      <c r="G10" t="s">
        <v>2</v>
      </c>
    </row>
    <row r="11" spans="1:12" x14ac:dyDescent="0.25">
      <c r="D11" s="6" t="str">
        <f>IF('4Instances'!G11&gt;0,'4Instances'!G11,"")</f>
        <v>PI1</v>
      </c>
      <c r="H11" t="s">
        <v>2</v>
      </c>
    </row>
    <row r="12" spans="1:12" x14ac:dyDescent="0.25">
      <c r="D12" s="6" t="str">
        <f>IF('4Instances'!G12&gt;0,'4Instances'!G12,"")</f>
        <v>PI2</v>
      </c>
      <c r="I12" t="s">
        <v>2</v>
      </c>
    </row>
    <row r="13" spans="1:12" x14ac:dyDescent="0.25">
      <c r="D13" s="6" t="str">
        <f>IF('4Instances'!G13&gt;0,'4Instances'!G13,"")</f>
        <v>PI3</v>
      </c>
      <c r="I13" t="s">
        <v>2</v>
      </c>
    </row>
    <row r="14" spans="1:12" x14ac:dyDescent="0.25">
      <c r="D14" s="6" t="str">
        <f>IF('4Instances'!G14&gt;0,'4Instances'!G14,"")</f>
        <v>PL1</v>
      </c>
      <c r="J14" t="s">
        <v>2</v>
      </c>
    </row>
    <row r="15" spans="1:12" x14ac:dyDescent="0.25">
      <c r="D15" s="6" t="str">
        <f>IF('4Instances'!G15&gt;0,'4Instances'!G15,"")</f>
        <v>PL2</v>
      </c>
      <c r="K15" t="s">
        <v>2</v>
      </c>
    </row>
    <row r="16" spans="1:12" x14ac:dyDescent="0.25">
      <c r="D16" s="6" t="str">
        <f>IF('4Instances'!G16&gt;0,'4Instances'!G16,"")</f>
        <v>PH1</v>
      </c>
    </row>
    <row r="17" spans="4:12" x14ac:dyDescent="0.25">
      <c r="D17" s="6" t="str">
        <f>IF('4Instances'!G17&gt;0,'4Instances'!G17,"")</f>
        <v>PH2</v>
      </c>
    </row>
    <row r="18" spans="4:12" x14ac:dyDescent="0.25">
      <c r="D18" s="6" t="str">
        <f>IF('4Instances'!G18&gt;0,'4Instances'!G18,"")</f>
        <v>PH3</v>
      </c>
    </row>
    <row r="19" spans="4:12" x14ac:dyDescent="0.25">
      <c r="D19" s="6" t="str">
        <f>IF('4Instances'!G19&gt;0,'4Instances'!G19,"")</f>
        <v>PH4</v>
      </c>
    </row>
    <row r="20" spans="4:12" x14ac:dyDescent="0.25">
      <c r="D20" s="6" t="str">
        <f>IF('4Instances'!G20&gt;0,'4Instances'!G20,"")</f>
        <v>PH5</v>
      </c>
    </row>
    <row r="21" spans="4:12" x14ac:dyDescent="0.25">
      <c r="D21" s="6" t="str">
        <f>IF('4Instances'!G21&gt;0,'4Instances'!G21,"")</f>
        <v>PH6</v>
      </c>
    </row>
    <row r="22" spans="4:12" x14ac:dyDescent="0.25">
      <c r="D22" s="6" t="str">
        <f>IF('4Instances'!G22&gt;0,'4Instances'!G22,"")</f>
        <v>PB1</v>
      </c>
    </row>
    <row r="23" spans="4:12" x14ac:dyDescent="0.25">
      <c r="D23" s="6" t="str">
        <f>IF('4Instances'!G23&gt;0,'4Instances'!G23,"")</f>
        <v>PB2</v>
      </c>
    </row>
    <row r="24" spans="4:12" x14ac:dyDescent="0.25">
      <c r="D24" s="6" t="str">
        <f>IF('4Instances'!G24&gt;0,'4Instances'!G24,"")</f>
        <v>PB3</v>
      </c>
    </row>
    <row r="25" spans="4:12" x14ac:dyDescent="0.25">
      <c r="D25" s="6" t="str">
        <f>IF('4Instances'!G25&gt;0,'4Instances'!G25,"")</f>
        <v>PB4</v>
      </c>
    </row>
    <row r="26" spans="4:12" x14ac:dyDescent="0.25">
      <c r="D26" s="6" t="str">
        <f>IF('4Instances'!G26&gt;0,'4Instances'!G26,"")</f>
        <v>PB5</v>
      </c>
    </row>
    <row r="27" spans="4:12" x14ac:dyDescent="0.25">
      <c r="D27" s="6" t="str">
        <f>IF('4Instances'!G27&gt;0,'4Instances'!G27,"")</f>
        <v>PC1</v>
      </c>
      <c r="L27" t="s">
        <v>2</v>
      </c>
    </row>
    <row r="28" spans="4:12" x14ac:dyDescent="0.25">
      <c r="D28" s="6" t="str">
        <f>IF('4Instances'!G28&gt;0,'4Instances'!G28,"")</f>
        <v/>
      </c>
    </row>
    <row r="29" spans="4:12" x14ac:dyDescent="0.25">
      <c r="D29" s="6" t="str">
        <f>IF('4Instances'!G29&gt;0,'4Instances'!G29,"")</f>
        <v/>
      </c>
    </row>
    <row r="30" spans="4:12" x14ac:dyDescent="0.25">
      <c r="D30" s="6" t="str">
        <f>IF('4Instances'!G30&gt;0,'4Instances'!G30,"")</f>
        <v/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A41"/>
  <sheetViews>
    <sheetView workbookViewId="0">
      <pane xSplit="4" ySplit="4" topLeftCell="E5" activePane="bottomRight" state="frozen"/>
      <selection pane="topRight" activeCell="D1" sqref="D1"/>
      <selection pane="bottomLeft" activeCell="A4" sqref="A4"/>
      <selection pane="bottomRight" activeCell="Z32" sqref="Z32"/>
    </sheetView>
  </sheetViews>
  <sheetFormatPr baseColWidth="10" defaultColWidth="9.140625" defaultRowHeight="15" x14ac:dyDescent="0.25"/>
  <cols>
    <col min="3" max="3" width="11" customWidth="1"/>
    <col min="4" max="4" width="15.42578125" style="6" customWidth="1"/>
    <col min="5" max="5" width="13.42578125" bestFit="1" customWidth="1"/>
  </cols>
  <sheetData>
    <row r="1" spans="1:27" x14ac:dyDescent="0.25">
      <c r="A1" t="s">
        <v>103</v>
      </c>
      <c r="B1" t="s">
        <v>107</v>
      </c>
    </row>
    <row r="3" spans="1:27" x14ac:dyDescent="0.25">
      <c r="C3" t="s">
        <v>97</v>
      </c>
      <c r="D3" s="4" t="s">
        <v>3</v>
      </c>
    </row>
    <row r="4" spans="1:27" s="3" customFormat="1" x14ac:dyDescent="0.25">
      <c r="C4" s="2" t="s">
        <v>1</v>
      </c>
      <c r="D4" s="5"/>
      <c r="E4" s="3" t="str">
        <f>IF('4Instances'!$G5&gt;0,'4Instances'!$G5,"")</f>
        <v>partToStorage</v>
      </c>
      <c r="F4" s="3" t="str">
        <f>IF('4Instances'!$G6&gt;0,'4Instances'!$G6,"")</f>
        <v>PD1</v>
      </c>
      <c r="G4" s="3" t="str">
        <f>IF('4Instances'!$G7&gt;0,'4Instances'!$G7,"")</f>
        <v>PD2</v>
      </c>
      <c r="H4" s="3" t="str">
        <f>IF('4Instances'!$G8&gt;0,'4Instances'!$G8,"")</f>
        <v>PD3</v>
      </c>
      <c r="I4" s="3" t="str">
        <f>IF('4Instances'!$G9&gt;0,'4Instances'!$G9,"")</f>
        <v>PD4</v>
      </c>
      <c r="J4" s="3" t="str">
        <f>IF('4Instances'!$G10&gt;0,'4Instances'!$G10,"")</f>
        <v>PD5</v>
      </c>
      <c r="K4" s="3" t="str">
        <f>IF('4Instances'!$G11&gt;0,'4Instances'!$G11,"")</f>
        <v>PI1</v>
      </c>
      <c r="L4" s="3" t="str">
        <f>IF('4Instances'!$G12&gt;0,'4Instances'!$G12,"")</f>
        <v>PI2</v>
      </c>
      <c r="M4" s="3" t="str">
        <f>IF('4Instances'!$G13&gt;0,'4Instances'!$G13,"")</f>
        <v>PI3</v>
      </c>
      <c r="N4" s="3" t="str">
        <f>IF('4Instances'!$G14&gt;0,'4Instances'!$G14,"")</f>
        <v>PL1</v>
      </c>
      <c r="O4" s="3" t="str">
        <f>IF('4Instances'!$G15&gt;0,'4Instances'!$G15,"")</f>
        <v>PL2</v>
      </c>
      <c r="P4" s="3" t="str">
        <f>IF('4Instances'!$G16&gt;0,'4Instances'!$G16,"")</f>
        <v>PH1</v>
      </c>
      <c r="Q4" s="3" t="str">
        <f>IF('4Instances'!$G17&gt;0,'4Instances'!$G17,"")</f>
        <v>PH2</v>
      </c>
      <c r="R4" s="3" t="str">
        <f>IF('4Instances'!$G18&gt;0,'4Instances'!$G18,"")</f>
        <v>PH3</v>
      </c>
      <c r="S4" s="3" t="str">
        <f>IF('4Instances'!$G19&gt;0,'4Instances'!$G19,"")</f>
        <v>PH4</v>
      </c>
      <c r="T4" s="3" t="str">
        <f>IF('4Instances'!$G20&gt;0,'4Instances'!$G20,"")</f>
        <v>PH5</v>
      </c>
      <c r="U4" s="3" t="str">
        <f>IF('4Instances'!$G21&gt;0,'4Instances'!$G21,"")</f>
        <v>PH6</v>
      </c>
      <c r="V4" s="3" t="str">
        <f>IF('4Instances'!$G22&gt;0,'4Instances'!$G22,"")</f>
        <v>PB1</v>
      </c>
      <c r="W4" s="3" t="str">
        <f>IF('4Instances'!$G23&gt;0,'4Instances'!$G23,"")</f>
        <v>PB2</v>
      </c>
      <c r="X4" s="3" t="str">
        <f>IF('4Instances'!$G24&gt;0,'4Instances'!$G24,"")</f>
        <v>PB3</v>
      </c>
      <c r="Y4" s="3" t="str">
        <f>IF('4Instances'!$G25&gt;0,'4Instances'!$G25,"")</f>
        <v>PB4</v>
      </c>
      <c r="Z4" s="3" t="str">
        <f>IF('4Instances'!$G26&gt;0,'4Instances'!$G26,"")</f>
        <v>PB5</v>
      </c>
      <c r="AA4" s="3" t="str">
        <f>IF('4Instances'!$G27&gt;0,'4Instances'!$G27,"")</f>
        <v>PC1</v>
      </c>
    </row>
    <row r="5" spans="1:27" x14ac:dyDescent="0.25">
      <c r="D5" s="6" t="str">
        <f>IF('4Instances'!J5&gt;0,'4Instances'!J5,"")</f>
        <v>EndRobot</v>
      </c>
      <c r="E5" t="s">
        <v>2</v>
      </c>
    </row>
    <row r="6" spans="1:27" x14ac:dyDescent="0.25">
      <c r="D6" s="6" t="str">
        <f>IF('4Instances'!J6&gt;0,'4Instances'!J6,"")</f>
        <v>D1</v>
      </c>
      <c r="F6" t="s">
        <v>2</v>
      </c>
      <c r="G6" t="s">
        <v>2</v>
      </c>
      <c r="H6" t="s">
        <v>2</v>
      </c>
      <c r="I6" t="s">
        <v>2</v>
      </c>
      <c r="J6" t="s">
        <v>2</v>
      </c>
    </row>
    <row r="7" spans="1:27" x14ac:dyDescent="0.25">
      <c r="D7" s="6" t="str">
        <f>IF('4Instances'!J7&gt;0,'4Instances'!J7,"")</f>
        <v>D2</v>
      </c>
      <c r="G7" t="s">
        <v>2</v>
      </c>
    </row>
    <row r="8" spans="1:27" x14ac:dyDescent="0.25">
      <c r="D8" s="6" t="str">
        <f>IF('4Instances'!J8&gt;0,'4Instances'!J8,"")</f>
        <v>D3</v>
      </c>
      <c r="H8" t="s">
        <v>2</v>
      </c>
      <c r="I8" t="s">
        <v>2</v>
      </c>
    </row>
    <row r="9" spans="1:27" x14ac:dyDescent="0.25">
      <c r="D9" s="6" t="str">
        <f>IF('4Instances'!J9&gt;0,'4Instances'!J9,"")</f>
        <v>D4</v>
      </c>
      <c r="H9" t="s">
        <v>2</v>
      </c>
    </row>
    <row r="10" spans="1:27" x14ac:dyDescent="0.25">
      <c r="D10" s="6" t="str">
        <f>IF('4Instances'!J10&gt;0,'4Instances'!J10,"")</f>
        <v>D5</v>
      </c>
      <c r="J10" t="s">
        <v>2</v>
      </c>
    </row>
    <row r="11" spans="1:27" x14ac:dyDescent="0.25">
      <c r="D11" s="6" t="str">
        <f>IF('4Instances'!J11&gt;0,'4Instances'!J11,"")</f>
        <v>I1</v>
      </c>
      <c r="K11" t="s">
        <v>2</v>
      </c>
    </row>
    <row r="12" spans="1:27" x14ac:dyDescent="0.25">
      <c r="D12" s="6" t="str">
        <f>IF('4Instances'!J12&gt;0,'4Instances'!J12,"")</f>
        <v>I2</v>
      </c>
      <c r="L12" t="s">
        <v>2</v>
      </c>
      <c r="M12" t="s">
        <v>2</v>
      </c>
    </row>
    <row r="13" spans="1:27" x14ac:dyDescent="0.25">
      <c r="D13" s="6" t="str">
        <f>IF('4Instances'!J13&gt;0,'4Instances'!J13,"")</f>
        <v>I3</v>
      </c>
      <c r="M13" t="s">
        <v>2</v>
      </c>
    </row>
    <row r="14" spans="1:27" x14ac:dyDescent="0.25">
      <c r="D14" s="6" t="str">
        <f>IF('4Instances'!J14&gt;0,'4Instances'!J14,"")</f>
        <v>L1</v>
      </c>
      <c r="N14" t="s">
        <v>2</v>
      </c>
    </row>
    <row r="15" spans="1:27" x14ac:dyDescent="0.25">
      <c r="D15" s="6" t="str">
        <f>IF('4Instances'!J15&gt;0,'4Instances'!J15,"")</f>
        <v>L2</v>
      </c>
      <c r="N15" t="s">
        <v>2</v>
      </c>
      <c r="O15" t="s">
        <v>2</v>
      </c>
    </row>
    <row r="16" spans="1:27" x14ac:dyDescent="0.25">
      <c r="D16" s="6" t="str">
        <f>IF('4Instances'!J16&gt;0,'4Instances'!J16,"")</f>
        <v>H1</v>
      </c>
    </row>
    <row r="17" spans="4:27" x14ac:dyDescent="0.25">
      <c r="D17" s="6" t="str">
        <f>IF('4Instances'!J17&gt;0,'4Instances'!J17,"")</f>
        <v>H2</v>
      </c>
    </row>
    <row r="18" spans="4:27" x14ac:dyDescent="0.25">
      <c r="D18" s="6" t="str">
        <f>IF('4Instances'!J18&gt;0,'4Instances'!J18,"")</f>
        <v>H3</v>
      </c>
    </row>
    <row r="19" spans="4:27" x14ac:dyDescent="0.25">
      <c r="D19" s="6" t="str">
        <f>IF('4Instances'!J19&gt;0,'4Instances'!J19,"")</f>
        <v>H4</v>
      </c>
    </row>
    <row r="20" spans="4:27" x14ac:dyDescent="0.25">
      <c r="D20" s="6" t="str">
        <f>IF('4Instances'!J20&gt;0,'4Instances'!J20,"")</f>
        <v>H5</v>
      </c>
    </row>
    <row r="21" spans="4:27" x14ac:dyDescent="0.25">
      <c r="D21" s="6" t="str">
        <f>IF('4Instances'!J21&gt;0,'4Instances'!J21,"")</f>
        <v>H6</v>
      </c>
    </row>
    <row r="22" spans="4:27" x14ac:dyDescent="0.25">
      <c r="D22" s="6" t="str">
        <f>IF('4Instances'!J22&gt;0,'4Instances'!J22,"")</f>
        <v>B1</v>
      </c>
    </row>
    <row r="23" spans="4:27" x14ac:dyDescent="0.25">
      <c r="D23" s="6" t="str">
        <f>IF('4Instances'!J23&gt;0,'4Instances'!J23,"")</f>
        <v>B2</v>
      </c>
    </row>
    <row r="24" spans="4:27" x14ac:dyDescent="0.25">
      <c r="D24" s="6" t="str">
        <f>IF('4Instances'!J24&gt;0,'4Instances'!J24,"")</f>
        <v>B3</v>
      </c>
    </row>
    <row r="25" spans="4:27" x14ac:dyDescent="0.25">
      <c r="D25" s="6" t="str">
        <f>IF('4Instances'!J25&gt;0,'4Instances'!J25,"")</f>
        <v>B4</v>
      </c>
    </row>
    <row r="26" spans="4:27" x14ac:dyDescent="0.25">
      <c r="D26" s="6" t="str">
        <f>IF('4Instances'!J26&gt;0,'4Instances'!J26,"")</f>
        <v>B5</v>
      </c>
    </row>
    <row r="27" spans="4:27" x14ac:dyDescent="0.25">
      <c r="D27" s="6" t="str">
        <f>IF('4Instances'!J27&gt;0,'4Instances'!J27,"")</f>
        <v>C1</v>
      </c>
      <c r="AA27" t="s">
        <v>2</v>
      </c>
    </row>
    <row r="28" spans="4:27" x14ac:dyDescent="0.25">
      <c r="D28" s="6" t="str">
        <f>IF('4Instances'!J28&gt;0,'4Instances'!J28,"")</f>
        <v/>
      </c>
    </row>
    <row r="29" spans="4:27" x14ac:dyDescent="0.25">
      <c r="D29" s="6" t="str">
        <f>IF('4Instances'!J29&gt;0,'4Instances'!J29,"")</f>
        <v/>
      </c>
    </row>
    <row r="30" spans="4:27" x14ac:dyDescent="0.25">
      <c r="D30" s="6" t="str">
        <f>IF('4Instances'!J30&gt;0,'4Instances'!J30,"")</f>
        <v/>
      </c>
    </row>
    <row r="31" spans="4:27" x14ac:dyDescent="0.25">
      <c r="D31" s="6" t="str">
        <f>IF('4Instances'!J31&gt;0,'4Instances'!J31,"")</f>
        <v/>
      </c>
    </row>
    <row r="32" spans="4:27" x14ac:dyDescent="0.25">
      <c r="D32" s="6" t="str">
        <f>IF('4Instances'!J32&gt;0,'4Instances'!J32,"")</f>
        <v/>
      </c>
    </row>
    <row r="33" spans="4:4" x14ac:dyDescent="0.25">
      <c r="D33" s="6" t="str">
        <f>IF('4Instances'!J33&gt;0,'4Instances'!J33,"")</f>
        <v/>
      </c>
    </row>
    <row r="34" spans="4:4" x14ac:dyDescent="0.25">
      <c r="D34" s="6" t="str">
        <f>IF('4Instances'!J34&gt;0,'4Instances'!J34,"")</f>
        <v/>
      </c>
    </row>
    <row r="35" spans="4:4" x14ac:dyDescent="0.25">
      <c r="D35" s="6" t="str">
        <f>IF('4Instances'!J35&gt;0,'4Instances'!J35,"")</f>
        <v/>
      </c>
    </row>
    <row r="36" spans="4:4" x14ac:dyDescent="0.25">
      <c r="D36" s="6" t="str">
        <f>IF('4Instances'!J36&gt;0,'4Instances'!J36,"")</f>
        <v/>
      </c>
    </row>
    <row r="37" spans="4:4" x14ac:dyDescent="0.25">
      <c r="D37" s="6" t="str">
        <f>IF('4Instances'!J37&gt;0,'4Instances'!J37,"")</f>
        <v/>
      </c>
    </row>
    <row r="38" spans="4:4" x14ac:dyDescent="0.25">
      <c r="D38" s="6" t="str">
        <f>IF('4Instances'!J38&gt;0,'4Instances'!J38,"")</f>
        <v/>
      </c>
    </row>
    <row r="39" spans="4:4" x14ac:dyDescent="0.25">
      <c r="D39" s="6" t="str">
        <f>IF('4Instances'!J39&gt;0,'4Instances'!J39,"")</f>
        <v/>
      </c>
    </row>
    <row r="40" spans="4:4" x14ac:dyDescent="0.25">
      <c r="D40" s="6" t="str">
        <f>IF('4Instances'!J40&gt;0,'4Instances'!J40,"")</f>
        <v/>
      </c>
    </row>
    <row r="41" spans="4:4" x14ac:dyDescent="0.25">
      <c r="D41" s="6" t="str">
        <f>IF('4Instances'!J41&gt;0,'4Instances'!J41,"")</f>
        <v/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X41"/>
  <sheetViews>
    <sheetView workbookViewId="0">
      <pane xSplit="4" ySplit="4" topLeftCell="E5" activePane="bottomRight" state="frozen"/>
      <selection pane="topRight" activeCell="D1" sqref="D1"/>
      <selection pane="bottomLeft" activeCell="A4" sqref="A4"/>
      <selection pane="bottomRight" activeCell="L28" sqref="L28"/>
    </sheetView>
  </sheetViews>
  <sheetFormatPr baseColWidth="10" defaultColWidth="9.140625" defaultRowHeight="15" x14ac:dyDescent="0.25"/>
  <cols>
    <col min="3" max="3" width="10.42578125" bestFit="1" customWidth="1"/>
    <col min="4" max="4" width="15.140625" style="6" customWidth="1"/>
    <col min="5" max="5" width="7.85546875" bestFit="1" customWidth="1"/>
    <col min="6" max="6" width="14.28515625" bestFit="1" customWidth="1"/>
    <col min="7" max="7" width="7.85546875" bestFit="1" customWidth="1"/>
  </cols>
  <sheetData>
    <row r="1" spans="1:24" x14ac:dyDescent="0.25">
      <c r="A1" t="s">
        <v>105</v>
      </c>
      <c r="B1" t="s">
        <v>106</v>
      </c>
    </row>
    <row r="3" spans="1:24" x14ac:dyDescent="0.25">
      <c r="C3" t="s">
        <v>166</v>
      </c>
      <c r="D3" s="4" t="s">
        <v>0</v>
      </c>
    </row>
    <row r="4" spans="1:24" s="3" customFormat="1" x14ac:dyDescent="0.25">
      <c r="A4" s="16"/>
      <c r="B4" s="16"/>
      <c r="C4" s="2" t="s">
        <v>0</v>
      </c>
      <c r="D4" s="5"/>
      <c r="E4" s="3" t="str">
        <f t="array" ref="E4:X4">TRANSPOSE(D5:D25)</f>
        <v>none</v>
      </c>
      <c r="F4" s="3" t="str">
        <v>all</v>
      </c>
      <c r="G4" s="3" t="str">
        <v>featDiff</v>
      </c>
      <c r="H4" s="3" t="str">
        <v>featIonImplant</v>
      </c>
      <c r="I4" s="3" t="str">
        <v>featLith</v>
      </c>
      <c r="J4" s="3" t="str">
        <v>featConfl</v>
      </c>
      <c r="K4" s="3" t="str">
        <v/>
      </c>
      <c r="L4" s="3" t="str">
        <v/>
      </c>
      <c r="M4" s="3" t="str">
        <v/>
      </c>
      <c r="N4" s="3" t="str">
        <v/>
      </c>
      <c r="O4" s="3" t="str">
        <v/>
      </c>
      <c r="P4" s="3" t="str">
        <v/>
      </c>
      <c r="Q4" s="3" t="str">
        <v/>
      </c>
      <c r="R4" s="3" t="str">
        <v/>
      </c>
      <c r="S4" s="3" t="str">
        <v/>
      </c>
      <c r="T4" s="3" t="str">
        <v/>
      </c>
      <c r="U4" s="3" t="str">
        <v/>
      </c>
      <c r="V4" s="3" t="str">
        <v/>
      </c>
      <c r="W4" s="3" t="str">
        <v/>
      </c>
      <c r="X4" s="3" t="str">
        <v/>
      </c>
    </row>
    <row r="5" spans="1:24" x14ac:dyDescent="0.25">
      <c r="D5" s="6" t="str">
        <f>IF('1Classes'!E5&gt;0,'1Classes'!E5,"")</f>
        <v>none</v>
      </c>
      <c r="E5" s="8"/>
    </row>
    <row r="6" spans="1:24" x14ac:dyDescent="0.25">
      <c r="D6" s="6" t="str">
        <f>IF('1Classes'!E6&gt;0,'1Classes'!E6,"")</f>
        <v>all</v>
      </c>
      <c r="F6" s="8"/>
    </row>
    <row r="7" spans="1:24" x14ac:dyDescent="0.25">
      <c r="D7" s="6" t="str">
        <f>IF('1Classes'!E7&gt;0,'1Classes'!E7,"")</f>
        <v>featDiff</v>
      </c>
      <c r="G7" s="8"/>
    </row>
    <row r="8" spans="1:24" x14ac:dyDescent="0.25">
      <c r="D8" s="6" t="str">
        <f>IF('1Classes'!E8&gt;0,'1Classes'!E8,"")</f>
        <v>featIonImplant</v>
      </c>
      <c r="H8" s="8"/>
    </row>
    <row r="9" spans="1:24" x14ac:dyDescent="0.25">
      <c r="D9" s="6" t="str">
        <f>IF('1Classes'!E9&gt;0,'1Classes'!E9,"")</f>
        <v>featLith</v>
      </c>
      <c r="H9" t="s">
        <v>2</v>
      </c>
      <c r="I9" s="8"/>
    </row>
    <row r="10" spans="1:24" x14ac:dyDescent="0.25">
      <c r="D10" s="6" t="str">
        <f>IF('1Classes'!E10&gt;0,'1Classes'!E10,"")</f>
        <v>featConfl</v>
      </c>
      <c r="J10" s="8"/>
    </row>
    <row r="11" spans="1:24" x14ac:dyDescent="0.25">
      <c r="D11" s="6" t="str">
        <f>IF('1Classes'!E11&gt;0,'1Classes'!E11,"")</f>
        <v/>
      </c>
      <c r="K11" s="8"/>
    </row>
    <row r="12" spans="1:24" x14ac:dyDescent="0.25">
      <c r="D12" s="6" t="str">
        <f>IF('1Classes'!G12&gt;0,'1Classes'!G12,"")</f>
        <v/>
      </c>
      <c r="L12" s="8"/>
    </row>
    <row r="13" spans="1:24" x14ac:dyDescent="0.25">
      <c r="D13" s="6" t="str">
        <f>IF('1Classes'!G13&gt;0,'1Classes'!G13,"")</f>
        <v/>
      </c>
      <c r="M13" s="8"/>
    </row>
    <row r="14" spans="1:24" x14ac:dyDescent="0.25">
      <c r="D14" s="6" t="str">
        <f>IF('1Classes'!G14&gt;0,'1Classes'!G14,"")</f>
        <v/>
      </c>
      <c r="N14" s="8"/>
    </row>
    <row r="15" spans="1:24" x14ac:dyDescent="0.25">
      <c r="D15" s="6" t="str">
        <f>IF('1Classes'!G15&gt;0,'1Classes'!G15,"")</f>
        <v/>
      </c>
      <c r="O15" s="8"/>
    </row>
    <row r="16" spans="1:24" x14ac:dyDescent="0.25">
      <c r="D16" s="6" t="str">
        <f>IF('1Classes'!G16&gt;0,'1Classes'!G16,"")</f>
        <v/>
      </c>
      <c r="P16" s="8"/>
    </row>
    <row r="17" spans="4:19" x14ac:dyDescent="0.25">
      <c r="D17" s="6" t="str">
        <f>IF('1Classes'!G17&gt;0,'1Classes'!G17,"")</f>
        <v/>
      </c>
      <c r="Q17" s="8"/>
    </row>
    <row r="18" spans="4:19" x14ac:dyDescent="0.25">
      <c r="D18" s="6" t="str">
        <f>IF('1Classes'!G18&gt;0,'1Classes'!G18,"")</f>
        <v/>
      </c>
      <c r="R18" s="8"/>
    </row>
    <row r="19" spans="4:19" x14ac:dyDescent="0.25">
      <c r="D19" s="6" t="str">
        <f>IF('1Classes'!G19&gt;0,'1Classes'!G19,"")</f>
        <v/>
      </c>
      <c r="S19" s="8"/>
    </row>
    <row r="20" spans="4:19" x14ac:dyDescent="0.25">
      <c r="D20" s="6" t="str">
        <f>IF('1Classes'!G20&gt;0,'1Classes'!G20,"")</f>
        <v/>
      </c>
    </row>
    <row r="21" spans="4:19" x14ac:dyDescent="0.25">
      <c r="D21" s="6" t="str">
        <f>IF('1Classes'!G21&gt;0,'1Classes'!G21,"")</f>
        <v/>
      </c>
    </row>
    <row r="22" spans="4:19" x14ac:dyDescent="0.25">
      <c r="D22" s="6" t="str">
        <f>IF('1Classes'!G22&gt;0,'1Classes'!G22,"")</f>
        <v/>
      </c>
    </row>
    <row r="23" spans="4:19" x14ac:dyDescent="0.25">
      <c r="D23" s="6" t="str">
        <f>IF('1Classes'!G23&gt;0,'1Classes'!G23,"")</f>
        <v/>
      </c>
    </row>
    <row r="24" spans="4:19" x14ac:dyDescent="0.25">
      <c r="D24" s="6" t="str">
        <f>IF('1Classes'!G24&gt;0,'1Classes'!G24,"")</f>
        <v/>
      </c>
    </row>
    <row r="25" spans="4:19" x14ac:dyDescent="0.25">
      <c r="D25" s="6" t="str">
        <f>IF('1Classes'!G25&gt;0,'1Classes'!G25,"")</f>
        <v/>
      </c>
    </row>
    <row r="26" spans="4:19" x14ac:dyDescent="0.25">
      <c r="D26" s="6" t="str">
        <f>IF('1Classes'!G26&gt;0,'1Classes'!G26,"")</f>
        <v/>
      </c>
    </row>
    <row r="27" spans="4:19" x14ac:dyDescent="0.25">
      <c r="D27" s="6" t="str">
        <f>IF('1Classes'!G27&gt;0,'1Classes'!G27,"")</f>
        <v/>
      </c>
    </row>
    <row r="28" spans="4:19" x14ac:dyDescent="0.25">
      <c r="D28" s="6" t="str">
        <f>IF('1Classes'!G28&gt;0,'1Classes'!G28,"")</f>
        <v/>
      </c>
    </row>
    <row r="29" spans="4:19" x14ac:dyDescent="0.25">
      <c r="D29" s="6" t="str">
        <f>IF('1Classes'!G29&gt;0,'1Classes'!G29,"")</f>
        <v/>
      </c>
    </row>
    <row r="30" spans="4:19" x14ac:dyDescent="0.25">
      <c r="D30" s="6" t="str">
        <f>IF('1Classes'!G30&gt;0,'1Classes'!G30,"")</f>
        <v/>
      </c>
    </row>
    <row r="31" spans="4:19" x14ac:dyDescent="0.25">
      <c r="D31" s="6" t="str">
        <f>IF('1Classes'!G31&gt;0,'1Classes'!G31,"")</f>
        <v/>
      </c>
    </row>
    <row r="32" spans="4:19" x14ac:dyDescent="0.25">
      <c r="D32" s="6" t="str">
        <f>IF('1Classes'!G32&gt;0,'1Classes'!G32,"")</f>
        <v/>
      </c>
    </row>
    <row r="33" spans="4:4" x14ac:dyDescent="0.25">
      <c r="D33" s="6" t="str">
        <f>IF('1Classes'!G33&gt;0,'1Classes'!G33,"")</f>
        <v/>
      </c>
    </row>
    <row r="34" spans="4:4" x14ac:dyDescent="0.25">
      <c r="D34" s="6" t="str">
        <f>IF('1Classes'!G34&gt;0,'1Classes'!G34,"")</f>
        <v/>
      </c>
    </row>
    <row r="35" spans="4:4" x14ac:dyDescent="0.25">
      <c r="D35" s="6" t="str">
        <f>IF('1Classes'!G35&gt;0,'1Classes'!G35,"")</f>
        <v/>
      </c>
    </row>
    <row r="36" spans="4:4" x14ac:dyDescent="0.25">
      <c r="D36" s="6" t="str">
        <f>IF('1Classes'!G36&gt;0,'1Classes'!G36,"")</f>
        <v/>
      </c>
    </row>
    <row r="37" spans="4:4" x14ac:dyDescent="0.25">
      <c r="D37" s="6" t="str">
        <f>IF('1Classes'!G37&gt;0,'1Classes'!G37,"")</f>
        <v/>
      </c>
    </row>
    <row r="38" spans="4:4" x14ac:dyDescent="0.25">
      <c r="D38" s="6" t="str">
        <f>IF('1Classes'!G38&gt;0,'1Classes'!G38,"")</f>
        <v/>
      </c>
    </row>
    <row r="39" spans="4:4" x14ac:dyDescent="0.25">
      <c r="D39" s="6" t="str">
        <f>IF('1Classes'!G39&gt;0,'1Classes'!G39,"")</f>
        <v/>
      </c>
    </row>
    <row r="40" spans="4:4" x14ac:dyDescent="0.25">
      <c r="D40" s="6" t="str">
        <f>IF('1Classes'!G40&gt;0,'1Classes'!G40,"")</f>
        <v/>
      </c>
    </row>
    <row r="41" spans="4:4" x14ac:dyDescent="0.25">
      <c r="D41" s="6" t="str">
        <f>IF('1Classes'!G41&gt;0,'1Classes'!G41,"")</f>
        <v/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X41"/>
  <sheetViews>
    <sheetView workbookViewId="0">
      <pane xSplit="4" ySplit="4" topLeftCell="E5" activePane="bottomRight" state="frozen"/>
      <selection pane="topRight" activeCell="D1" sqref="D1"/>
      <selection pane="bottomLeft" activeCell="A4" sqref="A4"/>
      <selection pane="bottomRight" activeCell="N38" sqref="N38"/>
    </sheetView>
  </sheetViews>
  <sheetFormatPr baseColWidth="10" defaultColWidth="9.140625" defaultRowHeight="15" x14ac:dyDescent="0.25"/>
  <cols>
    <col min="3" max="3" width="10.42578125" bestFit="1" customWidth="1"/>
    <col min="4" max="4" width="15.140625" style="6" customWidth="1"/>
    <col min="5" max="5" width="7.85546875" bestFit="1" customWidth="1"/>
    <col min="6" max="6" width="14.28515625" bestFit="1" customWidth="1"/>
    <col min="7" max="7" width="7.85546875" bestFit="1" customWidth="1"/>
  </cols>
  <sheetData>
    <row r="1" spans="1:24" x14ac:dyDescent="0.25">
      <c r="A1" t="s">
        <v>105</v>
      </c>
      <c r="B1" t="s">
        <v>106</v>
      </c>
    </row>
    <row r="3" spans="1:24" x14ac:dyDescent="0.25">
      <c r="C3" t="s">
        <v>160</v>
      </c>
      <c r="D3" s="4" t="s">
        <v>0</v>
      </c>
    </row>
    <row r="4" spans="1:24" s="3" customFormat="1" x14ac:dyDescent="0.25">
      <c r="A4" s="16"/>
      <c r="B4" s="16"/>
      <c r="C4" s="2" t="s">
        <v>0</v>
      </c>
      <c r="D4" s="5"/>
      <c r="E4" s="3" t="str">
        <f t="array" ref="E4:X4">TRANSPOSE(D5:D25)</f>
        <v>none</v>
      </c>
      <c r="F4" s="3" t="str">
        <v>all</v>
      </c>
      <c r="G4" s="3" t="str">
        <v>featDiff</v>
      </c>
      <c r="H4" s="3" t="str">
        <v>featIonImplant</v>
      </c>
      <c r="I4" s="3" t="str">
        <v>featLith</v>
      </c>
      <c r="J4" s="3" t="str">
        <v>featConfl</v>
      </c>
      <c r="K4" s="3" t="str">
        <v/>
      </c>
      <c r="L4" s="3" t="str">
        <v/>
      </c>
      <c r="M4" s="3" t="str">
        <v/>
      </c>
      <c r="N4" s="3" t="str">
        <v/>
      </c>
      <c r="O4" s="3" t="str">
        <v/>
      </c>
      <c r="P4" s="3" t="str">
        <v/>
      </c>
      <c r="Q4" s="3" t="str">
        <v/>
      </c>
      <c r="R4" s="3" t="str">
        <v/>
      </c>
      <c r="S4" s="3" t="str">
        <v/>
      </c>
      <c r="T4" s="3" t="str">
        <v/>
      </c>
      <c r="U4" s="3" t="str">
        <v/>
      </c>
      <c r="V4" s="3" t="str">
        <v/>
      </c>
      <c r="W4" s="3" t="str">
        <v/>
      </c>
      <c r="X4" s="3" t="str">
        <v/>
      </c>
    </row>
    <row r="5" spans="1:24" x14ac:dyDescent="0.25">
      <c r="D5" s="6" t="str">
        <f>IF('1Classes'!E5&gt;0,'1Classes'!E5,"")</f>
        <v>none</v>
      </c>
      <c r="E5" s="8"/>
    </row>
    <row r="6" spans="1:24" x14ac:dyDescent="0.25">
      <c r="D6" s="6" t="str">
        <f>IF('1Classes'!E6&gt;0,'1Classes'!E6,"")</f>
        <v>all</v>
      </c>
      <c r="F6" s="8"/>
    </row>
    <row r="7" spans="1:24" x14ac:dyDescent="0.25">
      <c r="D7" s="6" t="str">
        <f>IF('1Classes'!E7&gt;0,'1Classes'!E7,"")</f>
        <v>featDiff</v>
      </c>
      <c r="G7" s="8"/>
      <c r="J7" t="s">
        <v>2</v>
      </c>
    </row>
    <row r="8" spans="1:24" x14ac:dyDescent="0.25">
      <c r="D8" s="6" t="str">
        <f>IF('1Classes'!E8&gt;0,'1Classes'!E8,"")</f>
        <v>featIonImplant</v>
      </c>
      <c r="H8" s="8"/>
    </row>
    <row r="9" spans="1:24" x14ac:dyDescent="0.25">
      <c r="D9" s="6" t="str">
        <f>IF('1Classes'!E9&gt;0,'1Classes'!E9,"")</f>
        <v>featLith</v>
      </c>
      <c r="I9" s="8"/>
    </row>
    <row r="10" spans="1:24" x14ac:dyDescent="0.25">
      <c r="D10" s="6" t="str">
        <f>IF('1Classes'!E10&gt;0,'1Classes'!E10,"")</f>
        <v>featConfl</v>
      </c>
      <c r="G10" t="s">
        <v>2</v>
      </c>
      <c r="J10" s="8"/>
    </row>
    <row r="11" spans="1:24" x14ac:dyDescent="0.25">
      <c r="D11" s="6" t="str">
        <f>IF('1Classes'!E11&gt;0,'1Classes'!E11,"")</f>
        <v/>
      </c>
      <c r="K11" s="8"/>
    </row>
    <row r="12" spans="1:24" x14ac:dyDescent="0.25">
      <c r="D12" s="6" t="str">
        <f>IF('1Classes'!G12&gt;0,'1Classes'!G12,"")</f>
        <v/>
      </c>
      <c r="L12" s="8"/>
    </row>
    <row r="13" spans="1:24" x14ac:dyDescent="0.25">
      <c r="D13" s="6" t="str">
        <f>IF('1Classes'!G13&gt;0,'1Classes'!G13,"")</f>
        <v/>
      </c>
      <c r="M13" s="8"/>
    </row>
    <row r="14" spans="1:24" x14ac:dyDescent="0.25">
      <c r="D14" s="6" t="str">
        <f>IF('1Classes'!G14&gt;0,'1Classes'!G14,"")</f>
        <v/>
      </c>
      <c r="N14" s="8"/>
    </row>
    <row r="15" spans="1:24" x14ac:dyDescent="0.25">
      <c r="D15" s="6" t="str">
        <f>IF('1Classes'!G15&gt;0,'1Classes'!G15,"")</f>
        <v/>
      </c>
      <c r="O15" s="8"/>
    </row>
    <row r="16" spans="1:24" x14ac:dyDescent="0.25">
      <c r="D16" s="6" t="str">
        <f>IF('1Classes'!G16&gt;0,'1Classes'!G16,"")</f>
        <v/>
      </c>
      <c r="P16" s="8"/>
    </row>
    <row r="17" spans="4:19" x14ac:dyDescent="0.25">
      <c r="D17" s="6" t="str">
        <f>IF('1Classes'!G17&gt;0,'1Classes'!G17,"")</f>
        <v/>
      </c>
      <c r="Q17" s="8"/>
    </row>
    <row r="18" spans="4:19" x14ac:dyDescent="0.25">
      <c r="D18" s="6" t="str">
        <f>IF('1Classes'!G18&gt;0,'1Classes'!G18,"")</f>
        <v/>
      </c>
      <c r="R18" s="8"/>
    </row>
    <row r="19" spans="4:19" x14ac:dyDescent="0.25">
      <c r="D19" s="6" t="str">
        <f>IF('1Classes'!G19&gt;0,'1Classes'!G19,"")</f>
        <v/>
      </c>
      <c r="S19" s="8"/>
    </row>
    <row r="20" spans="4:19" x14ac:dyDescent="0.25">
      <c r="D20" s="6" t="str">
        <f>IF('1Classes'!G20&gt;0,'1Classes'!G20,"")</f>
        <v/>
      </c>
    </row>
    <row r="21" spans="4:19" x14ac:dyDescent="0.25">
      <c r="D21" s="6" t="str">
        <f>IF('1Classes'!G21&gt;0,'1Classes'!G21,"")</f>
        <v/>
      </c>
    </row>
    <row r="22" spans="4:19" x14ac:dyDescent="0.25">
      <c r="D22" s="6" t="str">
        <f>IF('1Classes'!G22&gt;0,'1Classes'!G22,"")</f>
        <v/>
      </c>
    </row>
    <row r="23" spans="4:19" x14ac:dyDescent="0.25">
      <c r="D23" s="6" t="str">
        <f>IF('1Classes'!G23&gt;0,'1Classes'!G23,"")</f>
        <v/>
      </c>
    </row>
    <row r="24" spans="4:19" x14ac:dyDescent="0.25">
      <c r="D24" s="6" t="str">
        <f>IF('1Classes'!G24&gt;0,'1Classes'!G24,"")</f>
        <v/>
      </c>
    </row>
    <row r="25" spans="4:19" x14ac:dyDescent="0.25">
      <c r="D25" s="6" t="str">
        <f>IF('1Classes'!G25&gt;0,'1Classes'!G25,"")</f>
        <v/>
      </c>
    </row>
    <row r="26" spans="4:19" x14ac:dyDescent="0.25">
      <c r="D26" s="6" t="str">
        <f>IF('1Classes'!G26&gt;0,'1Classes'!G26,"")</f>
        <v/>
      </c>
    </row>
    <row r="27" spans="4:19" x14ac:dyDescent="0.25">
      <c r="D27" s="6" t="str">
        <f>IF('1Classes'!G27&gt;0,'1Classes'!G27,"")</f>
        <v/>
      </c>
    </row>
    <row r="28" spans="4:19" x14ac:dyDescent="0.25">
      <c r="D28" s="6" t="str">
        <f>IF('1Classes'!G28&gt;0,'1Classes'!G28,"")</f>
        <v/>
      </c>
    </row>
    <row r="29" spans="4:19" x14ac:dyDescent="0.25">
      <c r="D29" s="6" t="str">
        <f>IF('1Classes'!G29&gt;0,'1Classes'!G29,"")</f>
        <v/>
      </c>
    </row>
    <row r="30" spans="4:19" x14ac:dyDescent="0.25">
      <c r="D30" s="6" t="str">
        <f>IF('1Classes'!G30&gt;0,'1Classes'!G30,"")</f>
        <v/>
      </c>
    </row>
    <row r="31" spans="4:19" x14ac:dyDescent="0.25">
      <c r="D31" s="6" t="str">
        <f>IF('1Classes'!G31&gt;0,'1Classes'!G31,"")</f>
        <v/>
      </c>
    </row>
    <row r="32" spans="4:19" x14ac:dyDescent="0.25">
      <c r="D32" s="6" t="str">
        <f>IF('1Classes'!G32&gt;0,'1Classes'!G32,"")</f>
        <v/>
      </c>
    </row>
    <row r="33" spans="4:4" x14ac:dyDescent="0.25">
      <c r="D33" s="6" t="str">
        <f>IF('1Classes'!G33&gt;0,'1Classes'!G33,"")</f>
        <v/>
      </c>
    </row>
    <row r="34" spans="4:4" x14ac:dyDescent="0.25">
      <c r="D34" s="6" t="str">
        <f>IF('1Classes'!G34&gt;0,'1Classes'!G34,"")</f>
        <v/>
      </c>
    </row>
    <row r="35" spans="4:4" x14ac:dyDescent="0.25">
      <c r="D35" s="6" t="str">
        <f>IF('1Classes'!G35&gt;0,'1Classes'!G35,"")</f>
        <v/>
      </c>
    </row>
    <row r="36" spans="4:4" x14ac:dyDescent="0.25">
      <c r="D36" s="6" t="str">
        <f>IF('1Classes'!G36&gt;0,'1Classes'!G36,"")</f>
        <v/>
      </c>
    </row>
    <row r="37" spans="4:4" x14ac:dyDescent="0.25">
      <c r="D37" s="6" t="str">
        <f>IF('1Classes'!G37&gt;0,'1Classes'!G37,"")</f>
        <v/>
      </c>
    </row>
    <row r="38" spans="4:4" x14ac:dyDescent="0.25">
      <c r="D38" s="6" t="str">
        <f>IF('1Classes'!G38&gt;0,'1Classes'!G38,"")</f>
        <v/>
      </c>
    </row>
    <row r="39" spans="4:4" x14ac:dyDescent="0.25">
      <c r="D39" s="6" t="str">
        <f>IF('1Classes'!G39&gt;0,'1Classes'!G39,"")</f>
        <v/>
      </c>
    </row>
    <row r="40" spans="4:4" x14ac:dyDescent="0.25">
      <c r="D40" s="6" t="str">
        <f>IF('1Classes'!G40&gt;0,'1Classes'!G40,"")</f>
        <v/>
      </c>
    </row>
    <row r="41" spans="4:4" x14ac:dyDescent="0.25">
      <c r="D41" s="6" t="str">
        <f>IF('1Classes'!G41&gt;0,'1Classes'!G41,"")</f>
        <v/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41"/>
  <sheetViews>
    <sheetView workbookViewId="0">
      <pane xSplit="4" ySplit="4" topLeftCell="E5" activePane="bottomRight" state="frozen"/>
      <selection pane="topRight" activeCell="D1" sqref="D1"/>
      <selection pane="bottomLeft" activeCell="A4" sqref="A4"/>
      <selection pane="bottomRight" activeCell="P22" sqref="P22"/>
    </sheetView>
  </sheetViews>
  <sheetFormatPr baseColWidth="10" defaultColWidth="9.140625" defaultRowHeight="15" x14ac:dyDescent="0.25"/>
  <cols>
    <col min="3" max="3" width="10.42578125" bestFit="1" customWidth="1"/>
    <col min="4" max="4" width="15.140625" style="6" customWidth="1"/>
    <col min="5" max="5" width="7.85546875" bestFit="1" customWidth="1"/>
    <col min="6" max="6" width="14.28515625" bestFit="1" customWidth="1"/>
    <col min="7" max="7" width="7.85546875" bestFit="1" customWidth="1"/>
  </cols>
  <sheetData>
    <row r="1" spans="1:24" x14ac:dyDescent="0.25">
      <c r="A1" t="s">
        <v>105</v>
      </c>
      <c r="B1" t="s">
        <v>106</v>
      </c>
    </row>
    <row r="3" spans="1:24" x14ac:dyDescent="0.25">
      <c r="C3" t="s">
        <v>150</v>
      </c>
      <c r="D3" s="4" t="s">
        <v>0</v>
      </c>
    </row>
    <row r="4" spans="1:24" s="3" customFormat="1" x14ac:dyDescent="0.25">
      <c r="A4" s="16"/>
      <c r="B4" s="16"/>
      <c r="C4" s="2" t="s">
        <v>0</v>
      </c>
      <c r="D4" s="5"/>
      <c r="E4" s="3" t="str">
        <f t="array" ref="E4:X4">TRANSPOSE(D5:D25)</f>
        <v>none</v>
      </c>
      <c r="F4" s="3" t="str">
        <v>all</v>
      </c>
      <c r="G4" s="3" t="str">
        <v>featDiff</v>
      </c>
      <c r="H4" s="3" t="str">
        <v>featIonImplant</v>
      </c>
      <c r="I4" s="3" t="str">
        <v>featLith</v>
      </c>
      <c r="J4" s="3" t="str">
        <v>featConfl</v>
      </c>
      <c r="K4" s="3" t="str">
        <v/>
      </c>
      <c r="L4" s="3" t="str">
        <v/>
      </c>
      <c r="M4" s="3" t="str">
        <v/>
      </c>
      <c r="N4" s="3" t="str">
        <v/>
      </c>
      <c r="O4" s="3" t="str">
        <v/>
      </c>
      <c r="P4" s="3" t="str">
        <v/>
      </c>
      <c r="Q4" s="3" t="str">
        <v/>
      </c>
      <c r="R4" s="3" t="str">
        <v/>
      </c>
      <c r="S4" s="3" t="str">
        <v/>
      </c>
      <c r="T4" s="3" t="str">
        <v/>
      </c>
      <c r="U4" s="3" t="str">
        <v/>
      </c>
      <c r="V4" s="3" t="str">
        <v/>
      </c>
      <c r="W4" s="3" t="str">
        <v/>
      </c>
      <c r="X4" s="3" t="str">
        <v/>
      </c>
    </row>
    <row r="5" spans="1:24" x14ac:dyDescent="0.25">
      <c r="D5" s="6" t="str">
        <f>IF('1Classes'!E5&gt;0,'1Classes'!E5,"")</f>
        <v>none</v>
      </c>
      <c r="E5" s="8"/>
      <c r="F5" t="s">
        <v>2</v>
      </c>
      <c r="G5" t="s">
        <v>2</v>
      </c>
      <c r="H5" t="s">
        <v>2</v>
      </c>
      <c r="I5" t="s">
        <v>2</v>
      </c>
      <c r="J5" t="s">
        <v>2</v>
      </c>
    </row>
    <row r="6" spans="1:24" x14ac:dyDescent="0.25">
      <c r="D6" s="6" t="str">
        <f>IF('1Classes'!E6&gt;0,'1Classes'!E6,"")</f>
        <v>all</v>
      </c>
      <c r="F6" s="8"/>
    </row>
    <row r="7" spans="1:24" x14ac:dyDescent="0.25">
      <c r="D7" s="6" t="str">
        <f>IF('1Classes'!E7&gt;0,'1Classes'!E7,"")</f>
        <v>featDiff</v>
      </c>
      <c r="F7" t="s">
        <v>2</v>
      </c>
      <c r="G7" s="8"/>
      <c r="I7" t="s">
        <v>2</v>
      </c>
    </row>
    <row r="8" spans="1:24" x14ac:dyDescent="0.25">
      <c r="D8" s="6" t="str">
        <f>IF('1Classes'!E8&gt;0,'1Classes'!E8,"")</f>
        <v>featIonImplant</v>
      </c>
      <c r="F8" t="s">
        <v>2</v>
      </c>
      <c r="H8" s="8"/>
    </row>
    <row r="9" spans="1:24" x14ac:dyDescent="0.25">
      <c r="D9" s="6" t="str">
        <f>IF('1Classes'!E9&gt;0,'1Classes'!E9,"")</f>
        <v>featLith</v>
      </c>
      <c r="F9" t="s">
        <v>2</v>
      </c>
      <c r="I9" s="8"/>
    </row>
    <row r="10" spans="1:24" x14ac:dyDescent="0.25">
      <c r="D10" s="6" t="str">
        <f>IF('1Classes'!E10&gt;0,'1Classes'!E10,"")</f>
        <v>featConfl</v>
      </c>
      <c r="F10" t="s">
        <v>2</v>
      </c>
      <c r="J10" s="8"/>
    </row>
    <row r="11" spans="1:24" x14ac:dyDescent="0.25">
      <c r="D11" s="6" t="str">
        <f>IF('1Classes'!E11&gt;0,'1Classes'!E11,"")</f>
        <v/>
      </c>
      <c r="K11" s="8"/>
    </row>
    <row r="12" spans="1:24" x14ac:dyDescent="0.25">
      <c r="D12" s="6" t="str">
        <f>IF('1Classes'!G12&gt;0,'1Classes'!G12,"")</f>
        <v/>
      </c>
      <c r="L12" s="8"/>
    </row>
    <row r="13" spans="1:24" x14ac:dyDescent="0.25">
      <c r="D13" s="6" t="str">
        <f>IF('1Classes'!G13&gt;0,'1Classes'!G13,"")</f>
        <v/>
      </c>
      <c r="M13" s="8"/>
    </row>
    <row r="14" spans="1:24" x14ac:dyDescent="0.25">
      <c r="D14" s="6" t="str">
        <f>IF('1Classes'!G14&gt;0,'1Classes'!G14,"")</f>
        <v/>
      </c>
      <c r="N14" s="8"/>
    </row>
    <row r="15" spans="1:24" x14ac:dyDescent="0.25">
      <c r="D15" s="6" t="str">
        <f>IF('1Classes'!G15&gt;0,'1Classes'!G15,"")</f>
        <v/>
      </c>
      <c r="O15" s="8"/>
    </row>
    <row r="16" spans="1:24" x14ac:dyDescent="0.25">
      <c r="D16" s="6" t="str">
        <f>IF('1Classes'!G16&gt;0,'1Classes'!G16,"")</f>
        <v/>
      </c>
      <c r="P16" s="8"/>
    </row>
    <row r="17" spans="4:19" x14ac:dyDescent="0.25">
      <c r="D17" s="6" t="str">
        <f>IF('1Classes'!G17&gt;0,'1Classes'!G17,"")</f>
        <v/>
      </c>
      <c r="Q17" s="8"/>
    </row>
    <row r="18" spans="4:19" x14ac:dyDescent="0.25">
      <c r="D18" s="6" t="str">
        <f>IF('1Classes'!G18&gt;0,'1Classes'!G18,"")</f>
        <v/>
      </c>
      <c r="R18" s="8"/>
    </row>
    <row r="19" spans="4:19" x14ac:dyDescent="0.25">
      <c r="D19" s="6" t="str">
        <f>IF('1Classes'!G19&gt;0,'1Classes'!G19,"")</f>
        <v/>
      </c>
      <c r="S19" s="8"/>
    </row>
    <row r="20" spans="4:19" x14ac:dyDescent="0.25">
      <c r="D20" s="6" t="str">
        <f>IF('1Classes'!G20&gt;0,'1Classes'!G20,"")</f>
        <v/>
      </c>
    </row>
    <row r="21" spans="4:19" x14ac:dyDescent="0.25">
      <c r="D21" s="6" t="str">
        <f>IF('1Classes'!G21&gt;0,'1Classes'!G21,"")</f>
        <v/>
      </c>
    </row>
    <row r="22" spans="4:19" x14ac:dyDescent="0.25">
      <c r="D22" s="6" t="str">
        <f>IF('1Classes'!G22&gt;0,'1Classes'!G22,"")</f>
        <v/>
      </c>
    </row>
    <row r="23" spans="4:19" x14ac:dyDescent="0.25">
      <c r="D23" s="6" t="str">
        <f>IF('1Classes'!G23&gt;0,'1Classes'!G23,"")</f>
        <v/>
      </c>
    </row>
    <row r="24" spans="4:19" x14ac:dyDescent="0.25">
      <c r="D24" s="6" t="str">
        <f>IF('1Classes'!G24&gt;0,'1Classes'!G24,"")</f>
        <v/>
      </c>
    </row>
    <row r="25" spans="4:19" x14ac:dyDescent="0.25">
      <c r="D25" s="6" t="str">
        <f>IF('1Classes'!G25&gt;0,'1Classes'!G25,"")</f>
        <v/>
      </c>
    </row>
    <row r="26" spans="4:19" x14ac:dyDescent="0.25">
      <c r="D26" s="6" t="str">
        <f>IF('1Classes'!G26&gt;0,'1Classes'!G26,"")</f>
        <v/>
      </c>
    </row>
    <row r="27" spans="4:19" x14ac:dyDescent="0.25">
      <c r="D27" s="6" t="str">
        <f>IF('1Classes'!G27&gt;0,'1Classes'!G27,"")</f>
        <v/>
      </c>
    </row>
    <row r="28" spans="4:19" x14ac:dyDescent="0.25">
      <c r="D28" s="6" t="str">
        <f>IF('1Classes'!G28&gt;0,'1Classes'!G28,"")</f>
        <v/>
      </c>
    </row>
    <row r="29" spans="4:19" x14ac:dyDescent="0.25">
      <c r="D29" s="6" t="str">
        <f>IF('1Classes'!G29&gt;0,'1Classes'!G29,"")</f>
        <v/>
      </c>
    </row>
    <row r="30" spans="4:19" x14ac:dyDescent="0.25">
      <c r="D30" s="6" t="str">
        <f>IF('1Classes'!G30&gt;0,'1Classes'!G30,"")</f>
        <v/>
      </c>
    </row>
    <row r="31" spans="4:19" x14ac:dyDescent="0.25">
      <c r="D31" s="6" t="str">
        <f>IF('1Classes'!G31&gt;0,'1Classes'!G31,"")</f>
        <v/>
      </c>
    </row>
    <row r="32" spans="4:19" x14ac:dyDescent="0.25">
      <c r="D32" s="6" t="str">
        <f>IF('1Classes'!G32&gt;0,'1Classes'!G32,"")</f>
        <v/>
      </c>
    </row>
    <row r="33" spans="4:4" x14ac:dyDescent="0.25">
      <c r="D33" s="6" t="str">
        <f>IF('1Classes'!G33&gt;0,'1Classes'!G33,"")</f>
        <v/>
      </c>
    </row>
    <row r="34" spans="4:4" x14ac:dyDescent="0.25">
      <c r="D34" s="6" t="str">
        <f>IF('1Classes'!G34&gt;0,'1Classes'!G34,"")</f>
        <v/>
      </c>
    </row>
    <row r="35" spans="4:4" x14ac:dyDescent="0.25">
      <c r="D35" s="6" t="str">
        <f>IF('1Classes'!G35&gt;0,'1Classes'!G35,"")</f>
        <v/>
      </c>
    </row>
    <row r="36" spans="4:4" x14ac:dyDescent="0.25">
      <c r="D36" s="6" t="str">
        <f>IF('1Classes'!G36&gt;0,'1Classes'!G36,"")</f>
        <v/>
      </c>
    </row>
    <row r="37" spans="4:4" x14ac:dyDescent="0.25">
      <c r="D37" s="6" t="str">
        <f>IF('1Classes'!G37&gt;0,'1Classes'!G37,"")</f>
        <v/>
      </c>
    </row>
    <row r="38" spans="4:4" x14ac:dyDescent="0.25">
      <c r="D38" s="6" t="str">
        <f>IF('1Classes'!G38&gt;0,'1Classes'!G38,"")</f>
        <v/>
      </c>
    </row>
    <row r="39" spans="4:4" x14ac:dyDescent="0.25">
      <c r="D39" s="6" t="str">
        <f>IF('1Classes'!G39&gt;0,'1Classes'!G39,"")</f>
        <v/>
      </c>
    </row>
    <row r="40" spans="4:4" x14ac:dyDescent="0.25">
      <c r="D40" s="6" t="str">
        <f>IF('1Classes'!G40&gt;0,'1Classes'!G40,"")</f>
        <v/>
      </c>
    </row>
    <row r="41" spans="4:4" x14ac:dyDescent="0.25">
      <c r="D41" s="6" t="str">
        <f>IF('1Classes'!G41&gt;0,'1Classes'!G41,"")</f>
        <v/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X41"/>
  <sheetViews>
    <sheetView workbookViewId="0">
      <pane xSplit="4" ySplit="4" topLeftCell="E5" activePane="bottomRight" state="frozen"/>
      <selection pane="topRight" activeCell="D1" sqref="D1"/>
      <selection pane="bottomLeft" activeCell="A4" sqref="A4"/>
      <selection pane="bottomRight" activeCell="I16" sqref="I16"/>
    </sheetView>
  </sheetViews>
  <sheetFormatPr baseColWidth="10" defaultColWidth="9.140625" defaultRowHeight="15" x14ac:dyDescent="0.25"/>
  <cols>
    <col min="4" max="4" width="15.140625" style="6" customWidth="1"/>
  </cols>
  <sheetData>
    <row r="1" spans="1:24" x14ac:dyDescent="0.25">
      <c r="A1" t="s">
        <v>105</v>
      </c>
      <c r="B1" t="s">
        <v>106</v>
      </c>
    </row>
    <row r="3" spans="1:24" x14ac:dyDescent="0.25">
      <c r="C3" t="s">
        <v>98</v>
      </c>
      <c r="D3" s="4" t="s">
        <v>3</v>
      </c>
    </row>
    <row r="4" spans="1:24" s="3" customFormat="1" x14ac:dyDescent="0.25">
      <c r="A4" s="16"/>
      <c r="B4" s="16"/>
      <c r="C4" s="2" t="s">
        <v>3</v>
      </c>
      <c r="D4" s="5"/>
      <c r="E4" s="3" t="str">
        <f t="array" ref="E4:X4">TRANSPOSE(D5:D25)</f>
        <v>rollout</v>
      </c>
      <c r="F4" s="3" t="str">
        <v>diffusion</v>
      </c>
      <c r="G4" s="3" t="str">
        <v>ionImplantation</v>
      </c>
      <c r="H4" s="3" t="str">
        <v>lithography</v>
      </c>
      <c r="I4" s="3" t="str">
        <v>handling</v>
      </c>
      <c r="J4" s="3" t="str">
        <v>buffering</v>
      </c>
      <c r="K4" s="3" t="str">
        <v>conflict</v>
      </c>
      <c r="L4" s="3" t="str">
        <v/>
      </c>
      <c r="M4" s="3" t="str">
        <v/>
      </c>
      <c r="N4" s="3" t="str">
        <v/>
      </c>
      <c r="O4" s="3" t="str">
        <v/>
      </c>
      <c r="P4" s="3" t="str">
        <v/>
      </c>
      <c r="Q4" s="3" t="str">
        <v/>
      </c>
      <c r="R4" s="3" t="str">
        <v/>
      </c>
      <c r="S4" s="3" t="str">
        <v/>
      </c>
      <c r="T4" s="3" t="str">
        <v/>
      </c>
      <c r="U4" s="3" t="str">
        <v/>
      </c>
      <c r="V4" s="3" t="str">
        <v/>
      </c>
      <c r="W4" s="3" t="str">
        <v/>
      </c>
      <c r="X4" s="3" t="str">
        <v/>
      </c>
    </row>
    <row r="5" spans="1:24" x14ac:dyDescent="0.25">
      <c r="D5" s="6" t="str">
        <f>IF('1Classes'!G5&gt;0,'1Classes'!G5,"")</f>
        <v>rollout</v>
      </c>
    </row>
    <row r="6" spans="1:24" x14ac:dyDescent="0.25">
      <c r="D6" s="6" t="str">
        <f>IF('1Classes'!G6&gt;0,'1Classes'!G6,"")</f>
        <v>diffusion</v>
      </c>
      <c r="F6" s="8"/>
      <c r="I6" t="s">
        <v>2</v>
      </c>
    </row>
    <row r="7" spans="1:24" x14ac:dyDescent="0.25">
      <c r="D7" s="6" t="str">
        <f>IF('1Classes'!G7&gt;0,'1Classes'!G7,"")</f>
        <v>ionImplantation</v>
      </c>
      <c r="G7" s="8"/>
      <c r="I7" t="s">
        <v>2</v>
      </c>
    </row>
    <row r="8" spans="1:24" x14ac:dyDescent="0.25">
      <c r="D8" s="6" t="str">
        <f>IF('1Classes'!G8&gt;0,'1Classes'!G8,"")</f>
        <v>lithography</v>
      </c>
      <c r="F8" t="s">
        <v>2</v>
      </c>
      <c r="G8" t="s">
        <v>2</v>
      </c>
      <c r="H8" s="8"/>
      <c r="I8" t="s">
        <v>2</v>
      </c>
    </row>
    <row r="9" spans="1:24" x14ac:dyDescent="0.25">
      <c r="D9" s="6" t="str">
        <f>IF('1Classes'!G9&gt;0,'1Classes'!G9,"")</f>
        <v>handling</v>
      </c>
      <c r="I9" s="8"/>
    </row>
    <row r="10" spans="1:24" x14ac:dyDescent="0.25">
      <c r="D10" s="6" t="str">
        <f>IF('1Classes'!G10&gt;0,'1Classes'!G10,"")</f>
        <v>buffering</v>
      </c>
      <c r="I10" t="s">
        <v>2</v>
      </c>
      <c r="J10" s="8"/>
    </row>
    <row r="11" spans="1:24" x14ac:dyDescent="0.25">
      <c r="D11" s="6" t="str">
        <f>IF('1Classes'!G11&gt;0,'1Classes'!G11,"")</f>
        <v>conflict</v>
      </c>
      <c r="K11" s="8"/>
    </row>
    <row r="12" spans="1:24" x14ac:dyDescent="0.25">
      <c r="D12" s="6" t="str">
        <f>IF('1Classes'!G12&gt;0,'1Classes'!G12,"")</f>
        <v/>
      </c>
      <c r="L12" s="8"/>
    </row>
    <row r="13" spans="1:24" x14ac:dyDescent="0.25">
      <c r="D13" s="6" t="str">
        <f>IF('1Classes'!G13&gt;0,'1Classes'!G13,"")</f>
        <v/>
      </c>
      <c r="M13" s="8"/>
    </row>
    <row r="14" spans="1:24" x14ac:dyDescent="0.25">
      <c r="D14" s="6" t="str">
        <f>IF('1Classes'!G14&gt;0,'1Classes'!G14,"")</f>
        <v/>
      </c>
      <c r="N14" s="8"/>
    </row>
    <row r="15" spans="1:24" x14ac:dyDescent="0.25">
      <c r="D15" s="6" t="str">
        <f>IF('1Classes'!G15&gt;0,'1Classes'!G15,"")</f>
        <v/>
      </c>
      <c r="O15" s="8"/>
    </row>
    <row r="16" spans="1:24" x14ac:dyDescent="0.25">
      <c r="D16" s="6" t="str">
        <f>IF('1Classes'!G16&gt;0,'1Classes'!G16,"")</f>
        <v/>
      </c>
      <c r="P16" s="8"/>
    </row>
    <row r="17" spans="4:19" x14ac:dyDescent="0.25">
      <c r="D17" s="6" t="str">
        <f>IF('1Classes'!G17&gt;0,'1Classes'!G17,"")</f>
        <v/>
      </c>
      <c r="Q17" s="8"/>
    </row>
    <row r="18" spans="4:19" x14ac:dyDescent="0.25">
      <c r="D18" s="6" t="str">
        <f>IF('1Classes'!G18&gt;0,'1Classes'!G18,"")</f>
        <v/>
      </c>
      <c r="R18" s="8"/>
    </row>
    <row r="19" spans="4:19" x14ac:dyDescent="0.25">
      <c r="D19" s="6" t="str">
        <f>IF('1Classes'!G19&gt;0,'1Classes'!G19,"")</f>
        <v/>
      </c>
      <c r="S19" s="8"/>
    </row>
    <row r="20" spans="4:19" x14ac:dyDescent="0.25">
      <c r="D20" s="6" t="str">
        <f>IF('1Classes'!G20&gt;0,'1Classes'!G20,"")</f>
        <v/>
      </c>
    </row>
    <row r="21" spans="4:19" x14ac:dyDescent="0.25">
      <c r="D21" s="6" t="str">
        <f>IF('1Classes'!G21&gt;0,'1Classes'!G21,"")</f>
        <v/>
      </c>
    </row>
    <row r="22" spans="4:19" x14ac:dyDescent="0.25">
      <c r="D22" s="6" t="str">
        <f>IF('1Classes'!G22&gt;0,'1Classes'!G22,"")</f>
        <v/>
      </c>
    </row>
    <row r="23" spans="4:19" x14ac:dyDescent="0.25">
      <c r="D23" s="6" t="str">
        <f>IF('1Classes'!G23&gt;0,'1Classes'!G23,"")</f>
        <v/>
      </c>
    </row>
    <row r="24" spans="4:19" x14ac:dyDescent="0.25">
      <c r="D24" s="6" t="str">
        <f>IF('1Classes'!G24&gt;0,'1Classes'!G24,"")</f>
        <v/>
      </c>
    </row>
    <row r="25" spans="4:19" x14ac:dyDescent="0.25">
      <c r="D25" s="6" t="str">
        <f>IF('1Classes'!G25&gt;0,'1Classes'!G25,"")</f>
        <v/>
      </c>
    </row>
    <row r="26" spans="4:19" x14ac:dyDescent="0.25">
      <c r="D26" s="6" t="str">
        <f>IF('1Classes'!G26&gt;0,'1Classes'!G26,"")</f>
        <v/>
      </c>
    </row>
    <row r="27" spans="4:19" x14ac:dyDescent="0.25">
      <c r="D27" s="6" t="str">
        <f>IF('1Classes'!G27&gt;0,'1Classes'!G27,"")</f>
        <v/>
      </c>
    </row>
    <row r="28" spans="4:19" x14ac:dyDescent="0.25">
      <c r="D28" s="6" t="str">
        <f>IF('1Classes'!G28&gt;0,'1Classes'!G28,"")</f>
        <v/>
      </c>
    </row>
    <row r="29" spans="4:19" x14ac:dyDescent="0.25">
      <c r="D29" s="6" t="str">
        <f>IF('1Classes'!G29&gt;0,'1Classes'!G29,"")</f>
        <v/>
      </c>
    </row>
    <row r="30" spans="4:19" x14ac:dyDescent="0.25">
      <c r="D30" s="6" t="str">
        <f>IF('1Classes'!G30&gt;0,'1Classes'!G30,"")</f>
        <v/>
      </c>
    </row>
    <row r="31" spans="4:19" x14ac:dyDescent="0.25">
      <c r="D31" s="6" t="str">
        <f>IF('1Classes'!G31&gt;0,'1Classes'!G31,"")</f>
        <v/>
      </c>
    </row>
    <row r="32" spans="4:19" x14ac:dyDescent="0.25">
      <c r="D32" s="6" t="str">
        <f>IF('1Classes'!G32&gt;0,'1Classes'!G32,"")</f>
        <v/>
      </c>
    </row>
    <row r="33" spans="4:4" x14ac:dyDescent="0.25">
      <c r="D33" s="6" t="str">
        <f>IF('1Classes'!G33&gt;0,'1Classes'!G33,"")</f>
        <v/>
      </c>
    </row>
    <row r="34" spans="4:4" x14ac:dyDescent="0.25">
      <c r="D34" s="6" t="str">
        <f>IF('1Classes'!G34&gt;0,'1Classes'!G34,"")</f>
        <v/>
      </c>
    </row>
    <row r="35" spans="4:4" x14ac:dyDescent="0.25">
      <c r="D35" s="6" t="str">
        <f>IF('1Classes'!G35&gt;0,'1Classes'!G35,"")</f>
        <v/>
      </c>
    </row>
    <row r="36" spans="4:4" x14ac:dyDescent="0.25">
      <c r="D36" s="6" t="str">
        <f>IF('1Classes'!G36&gt;0,'1Classes'!G36,"")</f>
        <v/>
      </c>
    </row>
    <row r="37" spans="4:4" x14ac:dyDescent="0.25">
      <c r="D37" s="6" t="str">
        <f>IF('1Classes'!G37&gt;0,'1Classes'!G37,"")</f>
        <v/>
      </c>
    </row>
    <row r="38" spans="4:4" x14ac:dyDescent="0.25">
      <c r="D38" s="6" t="str">
        <f>IF('1Classes'!G38&gt;0,'1Classes'!G38,"")</f>
        <v/>
      </c>
    </row>
    <row r="39" spans="4:4" x14ac:dyDescent="0.25">
      <c r="D39" s="6" t="str">
        <f>IF('1Classes'!G39&gt;0,'1Classes'!G39,"")</f>
        <v/>
      </c>
    </row>
    <row r="40" spans="4:4" x14ac:dyDescent="0.25">
      <c r="D40" s="6" t="str">
        <f>IF('1Classes'!G40&gt;0,'1Classes'!G40,"")</f>
        <v/>
      </c>
    </row>
    <row r="41" spans="4:4" x14ac:dyDescent="0.25">
      <c r="D41" s="6" t="str">
        <f>IF('1Classes'!G41&gt;0,'1Classes'!G41,"")</f>
        <v/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F41"/>
  <sheetViews>
    <sheetView workbookViewId="0">
      <pane xSplit="4" ySplit="4" topLeftCell="E5" activePane="bottomRight" state="frozen"/>
      <selection pane="topRight" activeCell="D1" sqref="D1"/>
      <selection pane="bottomLeft" activeCell="A4" sqref="A4"/>
      <selection pane="bottomRight" activeCell="F5" sqref="F5"/>
    </sheetView>
  </sheetViews>
  <sheetFormatPr baseColWidth="10" defaultColWidth="9.140625" defaultRowHeight="15" x14ac:dyDescent="0.25"/>
  <cols>
    <col min="3" max="3" width="12.140625" customWidth="1"/>
    <col min="4" max="4" width="9.5703125" style="6" bestFit="1" customWidth="1"/>
    <col min="5" max="29" width="3.28515625" customWidth="1"/>
  </cols>
  <sheetData>
    <row r="1" spans="1:32" x14ac:dyDescent="0.25">
      <c r="A1" t="s">
        <v>103</v>
      </c>
      <c r="B1" t="s">
        <v>107</v>
      </c>
    </row>
    <row r="3" spans="1:32" x14ac:dyDescent="0.25">
      <c r="C3" t="s">
        <v>99</v>
      </c>
      <c r="D3" s="4" t="s">
        <v>1</v>
      </c>
    </row>
    <row r="4" spans="1:32" s="3" customFormat="1" x14ac:dyDescent="0.25">
      <c r="B4" s="1"/>
      <c r="C4" s="2" t="s">
        <v>1</v>
      </c>
      <c r="D4" s="5"/>
      <c r="E4" s="3" t="str">
        <f t="array" ref="E4:AB4">TRANSPOSE(D5:D28)</f>
        <v>EndRobot</v>
      </c>
      <c r="F4" s="3" t="str">
        <v>D1</v>
      </c>
      <c r="G4" s="3" t="str">
        <v>D2</v>
      </c>
      <c r="H4" s="3" t="str">
        <v>D3</v>
      </c>
      <c r="I4" s="3" t="str">
        <v>D4</v>
      </c>
      <c r="J4" s="3" t="str">
        <v>D5</v>
      </c>
      <c r="K4" s="3" t="str">
        <v>I1</v>
      </c>
      <c r="L4" s="3" t="str">
        <v>I2</v>
      </c>
      <c r="M4" s="3" t="str">
        <v>I3</v>
      </c>
      <c r="N4" s="3" t="str">
        <v>L1</v>
      </c>
      <c r="O4" s="3" t="str">
        <v>L2</v>
      </c>
      <c r="P4" s="3" t="str">
        <v>H1</v>
      </c>
      <c r="Q4" s="3" t="str">
        <v>H2</v>
      </c>
      <c r="R4" s="3" t="str">
        <v>H3</v>
      </c>
      <c r="S4" s="3" t="str">
        <v>H4</v>
      </c>
      <c r="T4" s="3" t="str">
        <v>H5</v>
      </c>
      <c r="U4" s="3" t="str">
        <v>H6</v>
      </c>
      <c r="V4" s="3" t="str">
        <v>B1</v>
      </c>
      <c r="W4" s="3" t="str">
        <v>B2</v>
      </c>
      <c r="X4" s="3" t="str">
        <v>B3</v>
      </c>
      <c r="Y4" s="3" t="str">
        <v>B4</v>
      </c>
      <c r="Z4" s="3" t="str">
        <v>B5</v>
      </c>
      <c r="AA4" s="3" t="str">
        <v>C1</v>
      </c>
      <c r="AB4" s="3" t="str">
        <v/>
      </c>
    </row>
    <row r="5" spans="1:32" x14ac:dyDescent="0.25">
      <c r="D5" s="6" t="str">
        <f>IF('4Instances'!J5&gt;0,'4Instances'!J5,"")</f>
        <v>EndRobot</v>
      </c>
      <c r="Z5" s="13"/>
      <c r="AA5" s="13"/>
      <c r="AB5" s="13"/>
      <c r="AC5" s="13"/>
      <c r="AD5" s="13"/>
      <c r="AE5" s="13"/>
      <c r="AF5" s="13"/>
    </row>
    <row r="6" spans="1:32" x14ac:dyDescent="0.25">
      <c r="D6" s="6" t="str">
        <f>IF('4Instances'!J6&gt;0,'4Instances'!J6,"")</f>
        <v>D1</v>
      </c>
      <c r="F6" s="12"/>
      <c r="G6" s="13"/>
      <c r="H6" s="13"/>
      <c r="I6" s="13"/>
      <c r="J6" s="13"/>
      <c r="K6" s="13"/>
      <c r="L6" s="13"/>
      <c r="M6" s="13"/>
      <c r="N6" s="13"/>
      <c r="O6" s="13"/>
      <c r="P6" s="13" t="s">
        <v>2</v>
      </c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</row>
    <row r="7" spans="1:32" x14ac:dyDescent="0.25">
      <c r="D7" s="6" t="str">
        <f>IF('4Instances'!J7&gt;0,'4Instances'!J7,"")</f>
        <v>D2</v>
      </c>
      <c r="F7" s="13"/>
      <c r="G7" s="12"/>
      <c r="H7" s="13"/>
      <c r="I7" s="13"/>
      <c r="J7" s="13"/>
      <c r="K7" s="13"/>
      <c r="L7" s="13"/>
      <c r="M7" s="13"/>
      <c r="N7" s="13"/>
      <c r="O7" s="13"/>
      <c r="P7" s="13" t="s">
        <v>2</v>
      </c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</row>
    <row r="8" spans="1:32" x14ac:dyDescent="0.25">
      <c r="D8" s="6" t="str">
        <f>IF('4Instances'!J8&gt;0,'4Instances'!J8,"")</f>
        <v>D3</v>
      </c>
      <c r="F8" s="13"/>
      <c r="G8" s="13"/>
      <c r="H8" s="12"/>
      <c r="I8" s="13"/>
      <c r="J8" s="13"/>
      <c r="K8" s="13"/>
      <c r="L8" s="13"/>
      <c r="M8" s="13"/>
      <c r="N8" s="13"/>
      <c r="O8" s="13"/>
      <c r="P8" s="13" t="s">
        <v>2</v>
      </c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</row>
    <row r="9" spans="1:32" x14ac:dyDescent="0.25">
      <c r="D9" s="6" t="str">
        <f>IF('4Instances'!J9&gt;0,'4Instances'!J9,"")</f>
        <v>D4</v>
      </c>
      <c r="F9" s="13"/>
      <c r="G9" s="13"/>
      <c r="H9" s="13"/>
      <c r="I9" s="12"/>
      <c r="J9" s="13"/>
      <c r="K9" s="13"/>
      <c r="L9" s="13"/>
      <c r="M9" s="13"/>
      <c r="N9" s="13"/>
      <c r="O9" s="13"/>
      <c r="P9" s="13"/>
      <c r="Q9" s="13" t="s">
        <v>2</v>
      </c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</row>
    <row r="10" spans="1:32" x14ac:dyDescent="0.25">
      <c r="D10" s="6" t="str">
        <f>IF('4Instances'!J10&gt;0,'4Instances'!J10,"")</f>
        <v>D5</v>
      </c>
      <c r="F10" s="13"/>
      <c r="G10" s="13"/>
      <c r="H10" s="13"/>
      <c r="I10" s="13"/>
      <c r="J10" s="12"/>
      <c r="K10" s="13"/>
      <c r="L10" s="13"/>
      <c r="M10" s="13"/>
      <c r="N10" s="13"/>
      <c r="O10" s="13"/>
      <c r="P10" s="13"/>
      <c r="Q10" s="13" t="s">
        <v>2</v>
      </c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</row>
    <row r="11" spans="1:32" x14ac:dyDescent="0.25">
      <c r="D11" s="6" t="str">
        <f>IF('4Instances'!J11&gt;0,'4Instances'!J11,"")</f>
        <v>I1</v>
      </c>
      <c r="F11" s="13"/>
      <c r="G11" s="13"/>
      <c r="H11" s="13"/>
      <c r="I11" s="13"/>
      <c r="J11" s="13"/>
      <c r="K11" s="12"/>
      <c r="L11" s="13"/>
      <c r="M11" s="13"/>
      <c r="N11" s="13"/>
      <c r="O11" s="13"/>
      <c r="P11" s="13"/>
      <c r="Q11" s="13" t="s">
        <v>2</v>
      </c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</row>
    <row r="12" spans="1:32" x14ac:dyDescent="0.25">
      <c r="D12" s="6" t="str">
        <f>IF('4Instances'!J12&gt;0,'4Instances'!J12,"")</f>
        <v>I2</v>
      </c>
      <c r="F12" s="13"/>
      <c r="G12" s="13"/>
      <c r="H12" s="13"/>
      <c r="I12" s="13"/>
      <c r="J12" s="13"/>
      <c r="K12" s="13"/>
      <c r="L12" s="12"/>
      <c r="M12" s="13"/>
      <c r="N12" s="13"/>
      <c r="O12" s="13"/>
      <c r="P12" s="13"/>
      <c r="Q12" s="13" t="s">
        <v>2</v>
      </c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</row>
    <row r="13" spans="1:32" x14ac:dyDescent="0.25">
      <c r="D13" s="6" t="str">
        <f>IF('4Instances'!J13&gt;0,'4Instances'!J13,"")</f>
        <v>I3</v>
      </c>
      <c r="F13" s="13"/>
      <c r="G13" s="13"/>
      <c r="H13" s="13"/>
      <c r="I13" s="13"/>
      <c r="J13" s="13"/>
      <c r="K13" s="13"/>
      <c r="L13" s="13"/>
      <c r="M13" s="12"/>
      <c r="N13" s="13"/>
      <c r="O13" s="13"/>
      <c r="P13" s="13"/>
      <c r="Q13" s="13"/>
      <c r="R13" s="13" t="s">
        <v>2</v>
      </c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</row>
    <row r="14" spans="1:32" x14ac:dyDescent="0.25">
      <c r="D14" s="6" t="str">
        <f>IF('4Instances'!J14&gt;0,'4Instances'!J14,"")</f>
        <v>L1</v>
      </c>
      <c r="F14" s="13"/>
      <c r="G14" s="13"/>
      <c r="H14" s="13"/>
      <c r="I14" s="13"/>
      <c r="J14" s="13"/>
      <c r="K14" s="13"/>
      <c r="L14" s="13"/>
      <c r="M14" s="13"/>
      <c r="N14" s="12"/>
      <c r="O14" s="13"/>
      <c r="P14" s="13"/>
      <c r="Q14" s="13"/>
      <c r="R14" s="13" t="s">
        <v>2</v>
      </c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</row>
    <row r="15" spans="1:32" x14ac:dyDescent="0.25">
      <c r="D15" s="6" t="str">
        <f>IF('4Instances'!J15&gt;0,'4Instances'!J15,"")</f>
        <v>L2</v>
      </c>
      <c r="F15" s="13"/>
      <c r="G15" s="13"/>
      <c r="H15" s="13"/>
      <c r="I15" s="13"/>
      <c r="J15" s="13"/>
      <c r="K15" s="13"/>
      <c r="L15" s="13"/>
      <c r="M15" s="13"/>
      <c r="N15" s="13"/>
      <c r="O15" s="12"/>
      <c r="P15" s="13"/>
      <c r="Q15" s="13"/>
      <c r="R15" s="13" t="s">
        <v>2</v>
      </c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</row>
    <row r="16" spans="1:32" x14ac:dyDescent="0.25">
      <c r="D16" s="6" t="str">
        <f>IF('4Instances'!J16&gt;0,'4Instances'!J16,"")</f>
        <v>H1</v>
      </c>
      <c r="F16" s="13" t="s">
        <v>2</v>
      </c>
      <c r="G16" s="13" t="s">
        <v>2</v>
      </c>
      <c r="H16" s="13" t="s">
        <v>2</v>
      </c>
      <c r="I16" s="13"/>
      <c r="J16" s="13"/>
      <c r="K16" s="13"/>
      <c r="L16" s="13"/>
      <c r="M16" s="13"/>
      <c r="N16" s="13"/>
      <c r="O16" s="13"/>
      <c r="P16" s="12"/>
      <c r="Q16" s="13"/>
      <c r="R16" s="13"/>
      <c r="S16" s="13"/>
      <c r="T16" s="13"/>
      <c r="U16" s="13"/>
      <c r="V16" s="13" t="s">
        <v>2</v>
      </c>
      <c r="W16" s="13"/>
      <c r="X16" s="13"/>
      <c r="Y16" s="13"/>
      <c r="Z16" s="13"/>
      <c r="AA16" s="13"/>
      <c r="AB16" s="13"/>
      <c r="AC16" s="13"/>
      <c r="AD16" s="13"/>
      <c r="AE16" s="13"/>
      <c r="AF16" s="13"/>
    </row>
    <row r="17" spans="4:32" x14ac:dyDescent="0.25">
      <c r="D17" s="6" t="str">
        <f>IF('4Instances'!J17&gt;0,'4Instances'!J17,"")</f>
        <v>H2</v>
      </c>
      <c r="F17" s="13"/>
      <c r="G17" s="13"/>
      <c r="H17" s="13"/>
      <c r="I17" s="13" t="s">
        <v>2</v>
      </c>
      <c r="J17" s="13" t="s">
        <v>2</v>
      </c>
      <c r="K17" s="13" t="s">
        <v>2</v>
      </c>
      <c r="L17" s="13" t="s">
        <v>2</v>
      </c>
      <c r="M17" s="13"/>
      <c r="N17" s="13"/>
      <c r="O17" s="13"/>
      <c r="P17" s="13"/>
      <c r="Q17" s="12"/>
      <c r="R17" s="13"/>
      <c r="S17" s="13"/>
      <c r="T17" s="13"/>
      <c r="U17" s="13"/>
      <c r="V17" s="13"/>
      <c r="W17" s="13" t="s">
        <v>2</v>
      </c>
      <c r="X17" s="13"/>
      <c r="Y17" s="13"/>
      <c r="Z17" s="13"/>
      <c r="AA17" s="13"/>
      <c r="AB17" s="13"/>
      <c r="AC17" s="13"/>
      <c r="AD17" s="13"/>
      <c r="AE17" s="13"/>
      <c r="AF17" s="13"/>
    </row>
    <row r="18" spans="4:32" x14ac:dyDescent="0.25">
      <c r="D18" s="6" t="str">
        <f>IF('4Instances'!J18&gt;0,'4Instances'!J18,"")</f>
        <v>H3</v>
      </c>
      <c r="F18" s="13"/>
      <c r="G18" s="13"/>
      <c r="H18" s="13"/>
      <c r="I18" s="13"/>
      <c r="J18" s="13"/>
      <c r="K18" s="13"/>
      <c r="L18" s="13"/>
      <c r="M18" s="13" t="s">
        <v>2</v>
      </c>
      <c r="N18" s="13" t="s">
        <v>2</v>
      </c>
      <c r="O18" s="13" t="s">
        <v>2</v>
      </c>
      <c r="P18" s="13"/>
      <c r="Q18" s="13"/>
      <c r="R18" s="12"/>
      <c r="S18" s="13"/>
      <c r="T18" s="13"/>
      <c r="U18" s="13"/>
      <c r="V18" s="13"/>
      <c r="W18" s="13"/>
      <c r="X18" s="13" t="s">
        <v>2</v>
      </c>
      <c r="Y18" s="13"/>
      <c r="Z18" s="13"/>
      <c r="AA18" s="13"/>
      <c r="AB18" s="13"/>
      <c r="AC18" s="13"/>
      <c r="AD18" s="13"/>
      <c r="AE18" s="13"/>
      <c r="AF18" s="13"/>
    </row>
    <row r="19" spans="4:32" x14ac:dyDescent="0.25">
      <c r="D19" s="6" t="str">
        <f>IF('4Instances'!J19&gt;0,'4Instances'!J19,"")</f>
        <v>H4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2"/>
      <c r="T19" s="13"/>
      <c r="U19" s="13"/>
      <c r="V19" s="13" t="s">
        <v>2</v>
      </c>
      <c r="W19" s="13"/>
      <c r="X19" s="13"/>
      <c r="Y19" s="13" t="s">
        <v>2</v>
      </c>
      <c r="Z19" s="13"/>
      <c r="AA19" s="13"/>
      <c r="AB19" s="13"/>
      <c r="AC19" s="13"/>
      <c r="AD19" s="13"/>
      <c r="AE19" s="13"/>
      <c r="AF19" s="13"/>
    </row>
    <row r="20" spans="4:32" x14ac:dyDescent="0.25">
      <c r="D20" s="6" t="str">
        <f>IF('4Instances'!J20&gt;0,'4Instances'!J20,"")</f>
        <v>H5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2"/>
      <c r="U20" s="13"/>
      <c r="V20" s="13"/>
      <c r="W20" s="13" t="s">
        <v>2</v>
      </c>
      <c r="X20" s="13"/>
      <c r="Y20" s="13" t="s">
        <v>2</v>
      </c>
      <c r="Z20" s="13" t="s">
        <v>2</v>
      </c>
      <c r="AA20" s="13"/>
      <c r="AB20" s="13"/>
      <c r="AC20" s="13"/>
      <c r="AD20" s="13"/>
      <c r="AE20" s="13"/>
      <c r="AF20" s="13"/>
    </row>
    <row r="21" spans="4:32" x14ac:dyDescent="0.25">
      <c r="D21" s="6" t="str">
        <f>IF('4Instances'!J21&gt;0,'4Instances'!J21,"")</f>
        <v>H6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2"/>
      <c r="V21" s="13"/>
      <c r="W21" s="13"/>
      <c r="X21" s="13" t="s">
        <v>2</v>
      </c>
      <c r="Y21" s="13"/>
      <c r="Z21" s="13" t="s">
        <v>2</v>
      </c>
      <c r="AA21" s="13"/>
      <c r="AB21" s="13"/>
      <c r="AC21" s="13"/>
      <c r="AD21" s="13"/>
      <c r="AE21" s="13"/>
      <c r="AF21" s="13"/>
    </row>
    <row r="22" spans="4:32" x14ac:dyDescent="0.25">
      <c r="D22" s="6" t="str">
        <f>IF('4Instances'!J22&gt;0,'4Instances'!J22,"")</f>
        <v>B1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 t="s">
        <v>2</v>
      </c>
      <c r="Q22" s="13"/>
      <c r="R22" s="13"/>
      <c r="S22" s="13" t="s">
        <v>2</v>
      </c>
      <c r="T22" s="13"/>
      <c r="U22" s="13"/>
      <c r="V22" s="12"/>
      <c r="W22" s="13"/>
      <c r="X22" s="13"/>
      <c r="Y22" s="13"/>
      <c r="Z22" s="13"/>
      <c r="AA22" s="13"/>
      <c r="AB22" s="13"/>
      <c r="AC22" s="13"/>
      <c r="AD22" s="13"/>
      <c r="AE22" s="13"/>
      <c r="AF22" s="13"/>
    </row>
    <row r="23" spans="4:32" x14ac:dyDescent="0.25">
      <c r="D23" s="6" t="str">
        <f>IF('4Instances'!J23&gt;0,'4Instances'!J23,"")</f>
        <v>B2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 t="s">
        <v>2</v>
      </c>
      <c r="R23" s="13"/>
      <c r="S23" s="13"/>
      <c r="T23" s="13" t="s">
        <v>2</v>
      </c>
      <c r="U23" s="13"/>
      <c r="V23" s="13"/>
      <c r="W23" s="12"/>
      <c r="X23" s="13"/>
      <c r="Y23" s="13"/>
      <c r="Z23" s="13"/>
      <c r="AA23" s="13"/>
      <c r="AB23" s="13"/>
      <c r="AC23" s="13"/>
      <c r="AD23" s="13"/>
      <c r="AE23" s="13"/>
      <c r="AF23" s="13"/>
    </row>
    <row r="24" spans="4:32" x14ac:dyDescent="0.25">
      <c r="D24" s="6" t="str">
        <f>IF('4Instances'!J24&gt;0,'4Instances'!J24,"")</f>
        <v>B3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 t="s">
        <v>2</v>
      </c>
      <c r="S24" s="13"/>
      <c r="T24" s="13"/>
      <c r="U24" s="13" t="s">
        <v>2</v>
      </c>
      <c r="V24" s="13"/>
      <c r="W24" s="13"/>
      <c r="X24" s="12"/>
      <c r="Y24" s="13"/>
      <c r="Z24" s="13"/>
      <c r="AA24" s="13"/>
      <c r="AB24" s="13"/>
      <c r="AC24" s="13"/>
      <c r="AD24" s="13"/>
      <c r="AE24" s="13"/>
      <c r="AF24" s="13"/>
    </row>
    <row r="25" spans="4:32" x14ac:dyDescent="0.25">
      <c r="D25" s="6" t="str">
        <f>IF('4Instances'!J25&gt;0,'4Instances'!J25,"")</f>
        <v>B4</v>
      </c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 t="s">
        <v>2</v>
      </c>
      <c r="T25" s="13" t="s">
        <v>2</v>
      </c>
      <c r="U25" s="13"/>
      <c r="V25" s="13"/>
      <c r="W25" s="13"/>
      <c r="X25" s="13"/>
      <c r="Y25" s="12"/>
      <c r="Z25" s="13"/>
      <c r="AA25" s="13"/>
      <c r="AB25" s="13"/>
      <c r="AC25" s="13"/>
      <c r="AD25" s="13"/>
      <c r="AE25" s="13"/>
      <c r="AF25" s="13"/>
    </row>
    <row r="26" spans="4:32" x14ac:dyDescent="0.25">
      <c r="D26" s="6" t="str">
        <f>IF('4Instances'!J26&gt;0,'4Instances'!J26,"")</f>
        <v>B5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 t="s">
        <v>2</v>
      </c>
      <c r="U26" s="13" t="s">
        <v>2</v>
      </c>
      <c r="V26" s="13"/>
      <c r="W26" s="13"/>
      <c r="X26" s="13"/>
      <c r="Y26" s="13"/>
      <c r="Z26" s="12"/>
      <c r="AA26" s="13"/>
      <c r="AB26" s="13"/>
      <c r="AC26" s="13"/>
      <c r="AD26" s="13"/>
      <c r="AE26" s="13"/>
      <c r="AF26" s="13"/>
    </row>
    <row r="27" spans="4:32" x14ac:dyDescent="0.25">
      <c r="D27" s="6" t="str">
        <f>IF('4Instances'!J27&gt;0,'4Instances'!J27,"")</f>
        <v>C1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</row>
    <row r="28" spans="4:32" x14ac:dyDescent="0.25">
      <c r="D28" s="6" t="str">
        <f>IF('4Instances'!J28&gt;0,'4Instances'!J28,"")</f>
        <v/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</row>
    <row r="29" spans="4:32" x14ac:dyDescent="0.25">
      <c r="D29" s="6" t="str">
        <f>IF('4Instances'!J29&gt;0,'4Instances'!J29,"")</f>
        <v/>
      </c>
    </row>
    <row r="30" spans="4:32" x14ac:dyDescent="0.25">
      <c r="D30" s="6" t="str">
        <f>IF('4Instances'!J30&gt;0,'4Instances'!J30,"")</f>
        <v/>
      </c>
    </row>
    <row r="31" spans="4:32" x14ac:dyDescent="0.25">
      <c r="D31" s="6" t="str">
        <f>IF('4Instances'!J31&gt;0,'4Instances'!J31,"")</f>
        <v/>
      </c>
    </row>
    <row r="32" spans="4:32" x14ac:dyDescent="0.25">
      <c r="D32" s="6" t="str">
        <f>IF('4Instances'!J32&gt;0,'4Instances'!J32,"")</f>
        <v/>
      </c>
    </row>
    <row r="33" spans="4:4" x14ac:dyDescent="0.25">
      <c r="D33" s="6" t="str">
        <f>IF('4Instances'!J33&gt;0,'4Instances'!J33,"")</f>
        <v/>
      </c>
    </row>
    <row r="34" spans="4:4" x14ac:dyDescent="0.25">
      <c r="D34" s="6" t="str">
        <f>IF('4Instances'!J34&gt;0,'4Instances'!J34,"")</f>
        <v/>
      </c>
    </row>
    <row r="35" spans="4:4" x14ac:dyDescent="0.25">
      <c r="D35" s="6" t="str">
        <f>IF('4Instances'!J35&gt;0,'4Instances'!J35,"")</f>
        <v/>
      </c>
    </row>
    <row r="36" spans="4:4" x14ac:dyDescent="0.25">
      <c r="D36" s="6" t="str">
        <f>IF('4Instances'!J36&gt;0,'4Instances'!J36,"")</f>
        <v/>
      </c>
    </row>
    <row r="37" spans="4:4" x14ac:dyDescent="0.25">
      <c r="D37" s="6" t="str">
        <f>IF('4Instances'!J37&gt;0,'4Instances'!J37,"")</f>
        <v/>
      </c>
    </row>
    <row r="38" spans="4:4" x14ac:dyDescent="0.25">
      <c r="D38" s="6" t="str">
        <f>IF('4Instances'!J38&gt;0,'4Instances'!J38,"")</f>
        <v/>
      </c>
    </row>
    <row r="39" spans="4:4" x14ac:dyDescent="0.25">
      <c r="D39" s="6" t="str">
        <f>IF('4Instances'!J39&gt;0,'4Instances'!J39,"")</f>
        <v/>
      </c>
    </row>
    <row r="40" spans="4:4" x14ac:dyDescent="0.25">
      <c r="D40" s="6" t="str">
        <f>IF('4Instances'!J40&gt;0,'4Instances'!J40,"")</f>
        <v/>
      </c>
    </row>
    <row r="41" spans="4:4" x14ac:dyDescent="0.25">
      <c r="D41" s="6" t="str">
        <f>IF('4Instances'!J41&gt;0,'4Instances'!J41,"")</f>
        <v/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S33"/>
  <sheetViews>
    <sheetView workbookViewId="0">
      <pane ySplit="4" topLeftCell="A5" activePane="bottomLeft" state="frozen"/>
      <selection pane="bottomLeft" activeCell="E29" sqref="E29"/>
    </sheetView>
  </sheetViews>
  <sheetFormatPr baseColWidth="10" defaultRowHeight="15" x14ac:dyDescent="0.25"/>
  <cols>
    <col min="3" max="3" width="13.42578125" bestFit="1" customWidth="1"/>
    <col min="4" max="4" width="3.7109375" style="8" customWidth="1"/>
    <col min="5" max="5" width="15.7109375" customWidth="1"/>
    <col min="6" max="6" width="3.7109375" style="8" customWidth="1"/>
    <col min="7" max="7" width="11.42578125" style="15"/>
    <col min="8" max="8" width="3.7109375" style="8" customWidth="1"/>
    <col min="10" max="10" width="3.7109375" style="8" customWidth="1"/>
    <col min="11" max="11" width="11.42578125" style="15"/>
    <col min="12" max="12" width="3.7109375" style="8" customWidth="1"/>
    <col min="15" max="15" width="11.42578125" style="15"/>
    <col min="19" max="19" width="11.42578125" style="15"/>
  </cols>
  <sheetData>
    <row r="1" spans="1:19" x14ac:dyDescent="0.25">
      <c r="A1" t="s">
        <v>104</v>
      </c>
      <c r="B1" t="s">
        <v>107</v>
      </c>
    </row>
    <row r="3" spans="1:19" x14ac:dyDescent="0.25">
      <c r="E3" s="7" t="s">
        <v>93</v>
      </c>
    </row>
    <row r="4" spans="1:19" s="7" customFormat="1" x14ac:dyDescent="0.25">
      <c r="D4" s="9"/>
      <c r="E4" s="10" t="s">
        <v>133</v>
      </c>
      <c r="F4" s="9"/>
      <c r="G4" s="14"/>
      <c r="H4" s="9"/>
      <c r="J4" s="9"/>
      <c r="K4" s="14"/>
      <c r="L4" s="9"/>
      <c r="O4" s="14"/>
      <c r="S4" s="14"/>
    </row>
    <row r="5" spans="1:19" x14ac:dyDescent="0.25">
      <c r="C5" t="str">
        <f>IF('4Instances'!G5&gt;0,'4Instances'!G5,"")</f>
        <v>partToStorage</v>
      </c>
      <c r="E5" s="11">
        <v>0</v>
      </c>
    </row>
    <row r="6" spans="1:19" x14ac:dyDescent="0.25">
      <c r="C6" t="str">
        <f>IF('4Instances'!G6&gt;0,'4Instances'!G6,"")</f>
        <v>PD1</v>
      </c>
      <c r="E6" s="11">
        <v>2</v>
      </c>
    </row>
    <row r="7" spans="1:19" x14ac:dyDescent="0.25">
      <c r="C7" t="str">
        <f>IF('4Instances'!G7&gt;0,'4Instances'!G7,"")</f>
        <v>PD2</v>
      </c>
      <c r="E7" s="11">
        <v>3</v>
      </c>
    </row>
    <row r="8" spans="1:19" x14ac:dyDescent="0.25">
      <c r="C8" t="str">
        <f>IF('4Instances'!G8&gt;0,'4Instances'!G8,"")</f>
        <v>PD3</v>
      </c>
      <c r="E8" s="11">
        <v>4</v>
      </c>
    </row>
    <row r="9" spans="1:19" x14ac:dyDescent="0.25">
      <c r="C9" t="str">
        <f>IF('4Instances'!G9&gt;0,'4Instances'!G9,"")</f>
        <v>PD4</v>
      </c>
      <c r="E9" s="11">
        <v>3</v>
      </c>
    </row>
    <row r="10" spans="1:19" x14ac:dyDescent="0.25">
      <c r="C10" t="str">
        <f>IF('4Instances'!G10&gt;0,'4Instances'!G10,"")</f>
        <v>PD5</v>
      </c>
      <c r="E10" s="11">
        <v>6</v>
      </c>
    </row>
    <row r="11" spans="1:19" x14ac:dyDescent="0.25">
      <c r="C11" t="str">
        <f>IF('4Instances'!G11&gt;0,'4Instances'!G11,"")</f>
        <v>PI1</v>
      </c>
      <c r="E11" s="11">
        <v>4</v>
      </c>
    </row>
    <row r="12" spans="1:19" x14ac:dyDescent="0.25">
      <c r="C12" t="str">
        <f>IF('4Instances'!G12&gt;0,'4Instances'!G12,"")</f>
        <v>PI2</v>
      </c>
      <c r="E12" s="11">
        <v>2</v>
      </c>
    </row>
    <row r="13" spans="1:19" x14ac:dyDescent="0.25">
      <c r="C13" t="str">
        <f>IF('4Instances'!G13&gt;0,'4Instances'!G13,"")</f>
        <v>PI3</v>
      </c>
      <c r="E13" s="11">
        <v>1</v>
      </c>
    </row>
    <row r="14" spans="1:19" x14ac:dyDescent="0.25">
      <c r="C14" t="str">
        <f>IF('4Instances'!G14&gt;0,'4Instances'!G14,"")</f>
        <v>PL1</v>
      </c>
      <c r="E14" s="11">
        <v>1</v>
      </c>
    </row>
    <row r="15" spans="1:19" x14ac:dyDescent="0.25">
      <c r="C15" t="str">
        <f>IF('4Instances'!G15&gt;0,'4Instances'!G15,"")</f>
        <v>PL2</v>
      </c>
      <c r="E15" s="11">
        <v>1</v>
      </c>
    </row>
    <row r="16" spans="1:19" x14ac:dyDescent="0.25">
      <c r="C16" t="str">
        <f>IF('4Instances'!G16&gt;0,'4Instances'!G16,"")</f>
        <v>PH1</v>
      </c>
      <c r="E16" s="11">
        <v>4</v>
      </c>
    </row>
    <row r="17" spans="3:5" x14ac:dyDescent="0.25">
      <c r="C17" t="str">
        <f>IF('4Instances'!G17&gt;0,'4Instances'!G17,"")</f>
        <v>PH2</v>
      </c>
      <c r="E17" s="11">
        <v>7</v>
      </c>
    </row>
    <row r="18" spans="3:5" x14ac:dyDescent="0.25">
      <c r="C18" t="str">
        <f>IF('4Instances'!G18&gt;0,'4Instances'!G18,"")</f>
        <v>PH3</v>
      </c>
      <c r="E18" s="11">
        <v>5</v>
      </c>
    </row>
    <row r="19" spans="3:5" x14ac:dyDescent="0.25">
      <c r="C19" t="str">
        <f>IF('4Instances'!G19&gt;0,'4Instances'!G19,"")</f>
        <v>PH4</v>
      </c>
      <c r="E19" s="11">
        <v>3</v>
      </c>
    </row>
    <row r="20" spans="3:5" x14ac:dyDescent="0.25">
      <c r="C20" t="str">
        <f>IF('4Instances'!G20&gt;0,'4Instances'!G20,"")</f>
        <v>PH5</v>
      </c>
      <c r="E20" s="11">
        <v>6</v>
      </c>
    </row>
    <row r="21" spans="3:5" x14ac:dyDescent="0.25">
      <c r="C21" t="str">
        <f>IF('4Instances'!G21&gt;0,'4Instances'!G21,"")</f>
        <v>PH6</v>
      </c>
      <c r="E21" s="11">
        <v>3</v>
      </c>
    </row>
    <row r="22" spans="3:5" x14ac:dyDescent="0.25">
      <c r="C22" t="str">
        <f>IF('4Instances'!G22&gt;0,'4Instances'!G22,"")</f>
        <v>PB1</v>
      </c>
      <c r="E22" s="11">
        <v>5</v>
      </c>
    </row>
    <row r="23" spans="3:5" x14ac:dyDescent="0.25">
      <c r="C23" t="str">
        <f>IF('4Instances'!G23&gt;0,'4Instances'!G23,"")</f>
        <v>PB2</v>
      </c>
      <c r="E23" s="11">
        <v>8</v>
      </c>
    </row>
    <row r="24" spans="3:5" x14ac:dyDescent="0.25">
      <c r="C24" t="str">
        <f>IF('4Instances'!G24&gt;0,'4Instances'!G24,"")</f>
        <v>PB3</v>
      </c>
      <c r="E24" s="11">
        <v>6</v>
      </c>
    </row>
    <row r="25" spans="3:5" x14ac:dyDescent="0.25">
      <c r="C25" t="str">
        <f>IF('4Instances'!G25&gt;0,'4Instances'!G25,"")</f>
        <v>PB4</v>
      </c>
      <c r="E25" s="11">
        <v>3</v>
      </c>
    </row>
    <row r="26" spans="3:5" x14ac:dyDescent="0.25">
      <c r="C26" t="str">
        <f>IF('4Instances'!G26&gt;0,'4Instances'!G26,"")</f>
        <v>PB5</v>
      </c>
      <c r="E26" s="11">
        <v>5</v>
      </c>
    </row>
    <row r="27" spans="3:5" x14ac:dyDescent="0.25">
      <c r="C27" t="str">
        <f>IF('4Instances'!G27&gt;0,'4Instances'!G27,"")</f>
        <v>PC1</v>
      </c>
      <c r="E27" s="11">
        <v>4</v>
      </c>
    </row>
    <row r="28" spans="3:5" x14ac:dyDescent="0.25">
      <c r="C28" t="str">
        <f>IF('4Instances'!G28&gt;0,'4Instances'!G28,"")</f>
        <v/>
      </c>
    </row>
    <row r="29" spans="3:5" x14ac:dyDescent="0.25">
      <c r="C29" t="str">
        <f>IF('4Instances'!G29&gt;0,'4Instances'!G29,"")</f>
        <v/>
      </c>
    </row>
    <row r="30" spans="3:5" x14ac:dyDescent="0.25">
      <c r="C30" t="str">
        <f>IF('4Instances'!G30&gt;0,'4Instances'!G30,"")</f>
        <v/>
      </c>
    </row>
    <row r="31" spans="3:5" x14ac:dyDescent="0.25">
      <c r="C31" t="str">
        <f>IF('4Instances'!G31&gt;0,'4Instances'!G31,"")</f>
        <v/>
      </c>
    </row>
    <row r="32" spans="3:5" x14ac:dyDescent="0.25">
      <c r="C32" t="str">
        <f>IF('4Instances'!G32&gt;0,'4Instances'!G32,"")</f>
        <v/>
      </c>
    </row>
    <row r="33" spans="3:3" x14ac:dyDescent="0.25">
      <c r="C33" t="str">
        <f>IF('4Instances'!G33&gt;0,'4Instances'!G33,"")</f>
        <v/>
      </c>
    </row>
  </sheetData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S42"/>
  <sheetViews>
    <sheetView workbookViewId="0">
      <pane ySplit="4" topLeftCell="A5" activePane="bottomLeft" state="frozen"/>
      <selection pane="bottomLeft" activeCell="E35" sqref="E35"/>
    </sheetView>
  </sheetViews>
  <sheetFormatPr baseColWidth="10" defaultRowHeight="15" x14ac:dyDescent="0.25"/>
  <cols>
    <col min="4" max="4" width="3.7109375" style="8" customWidth="1"/>
    <col min="5" max="5" width="15.7109375" customWidth="1"/>
    <col min="6" max="6" width="3.7109375" style="8" customWidth="1"/>
    <col min="7" max="7" width="11.42578125" style="15"/>
    <col min="8" max="8" width="3.7109375" style="8" customWidth="1"/>
    <col min="10" max="10" width="3.7109375" style="8" customWidth="1"/>
    <col min="11" max="11" width="11.42578125" style="15"/>
    <col min="12" max="12" width="3.7109375" style="8" customWidth="1"/>
    <col min="15" max="15" width="11.42578125" style="15"/>
    <col min="19" max="19" width="11.42578125" style="15"/>
  </cols>
  <sheetData>
    <row r="1" spans="1:19" x14ac:dyDescent="0.25">
      <c r="A1" t="s">
        <v>104</v>
      </c>
      <c r="B1" t="s">
        <v>107</v>
      </c>
    </row>
    <row r="3" spans="1:19" x14ac:dyDescent="0.25">
      <c r="E3" s="7" t="s">
        <v>94</v>
      </c>
    </row>
    <row r="4" spans="1:19" s="7" customFormat="1" x14ac:dyDescent="0.25">
      <c r="D4" s="9"/>
      <c r="E4" s="10" t="s">
        <v>133</v>
      </c>
      <c r="F4" s="9"/>
      <c r="G4" s="14"/>
      <c r="H4" s="9"/>
      <c r="J4" s="9"/>
      <c r="K4" s="14"/>
      <c r="L4" s="9"/>
      <c r="O4" s="14"/>
      <c r="S4" s="14"/>
    </row>
    <row r="5" spans="1:19" x14ac:dyDescent="0.25">
      <c r="C5" t="str">
        <f>IF('4Instances'!J5&gt;0,'4Instances'!J5,"")</f>
        <v>EndRobot</v>
      </c>
      <c r="E5" s="11">
        <v>0</v>
      </c>
    </row>
    <row r="6" spans="1:19" x14ac:dyDescent="0.25">
      <c r="C6" t="str">
        <f>IF('4Instances'!J6&gt;0,'4Instances'!J6,"")</f>
        <v>D1</v>
      </c>
      <c r="E6" s="11">
        <v>6</v>
      </c>
    </row>
    <row r="7" spans="1:19" x14ac:dyDescent="0.25">
      <c r="C7" t="str">
        <f>IF('4Instances'!J7&gt;0,'4Instances'!J7,"")</f>
        <v>D2</v>
      </c>
      <c r="E7" s="11">
        <v>6</v>
      </c>
    </row>
    <row r="8" spans="1:19" x14ac:dyDescent="0.25">
      <c r="C8" t="str">
        <f>IF('4Instances'!J8&gt;0,'4Instances'!J8,"")</f>
        <v>D3</v>
      </c>
      <c r="E8" s="11">
        <v>6</v>
      </c>
    </row>
    <row r="9" spans="1:19" x14ac:dyDescent="0.25">
      <c r="C9" t="str">
        <f>IF('4Instances'!J9&gt;0,'4Instances'!J9,"")</f>
        <v>D4</v>
      </c>
      <c r="E9" s="11">
        <v>6</v>
      </c>
    </row>
    <row r="10" spans="1:19" x14ac:dyDescent="0.25">
      <c r="C10" t="str">
        <f>IF('4Instances'!J10&gt;0,'4Instances'!J10,"")</f>
        <v>D5</v>
      </c>
      <c r="E10" s="11">
        <v>6</v>
      </c>
    </row>
    <row r="11" spans="1:19" x14ac:dyDescent="0.25">
      <c r="C11" t="str">
        <f>IF('4Instances'!J11&gt;0,'4Instances'!J11,"")</f>
        <v>I1</v>
      </c>
      <c r="E11" s="11">
        <v>6</v>
      </c>
    </row>
    <row r="12" spans="1:19" x14ac:dyDescent="0.25">
      <c r="C12" t="str">
        <f>IF('4Instances'!J12&gt;0,'4Instances'!J12,"")</f>
        <v>I2</v>
      </c>
      <c r="E12" s="11">
        <v>6</v>
      </c>
    </row>
    <row r="13" spans="1:19" x14ac:dyDescent="0.25">
      <c r="C13" t="str">
        <f>IF('4Instances'!J13&gt;0,'4Instances'!J13,"")</f>
        <v>I3</v>
      </c>
      <c r="E13" s="11">
        <v>6</v>
      </c>
    </row>
    <row r="14" spans="1:19" x14ac:dyDescent="0.25">
      <c r="C14" t="str">
        <f>IF('4Instances'!J14&gt;0,'4Instances'!J14,"")</f>
        <v>L1</v>
      </c>
      <c r="E14" s="11">
        <v>6</v>
      </c>
    </row>
    <row r="15" spans="1:19" x14ac:dyDescent="0.25">
      <c r="C15" t="str">
        <f>IF('4Instances'!J15&gt;0,'4Instances'!J15,"")</f>
        <v>L2</v>
      </c>
      <c r="E15" s="11">
        <v>6</v>
      </c>
    </row>
    <row r="16" spans="1:19" x14ac:dyDescent="0.25">
      <c r="C16" t="str">
        <f>IF('4Instances'!J16&gt;0,'4Instances'!J16,"")</f>
        <v>H1</v>
      </c>
      <c r="E16" s="11">
        <v>6</v>
      </c>
    </row>
    <row r="17" spans="3:5" x14ac:dyDescent="0.25">
      <c r="C17" t="str">
        <f>IF('4Instances'!J17&gt;0,'4Instances'!J17,"")</f>
        <v>H2</v>
      </c>
      <c r="E17" s="11">
        <v>6</v>
      </c>
    </row>
    <row r="18" spans="3:5" x14ac:dyDescent="0.25">
      <c r="C18" t="str">
        <f>IF('4Instances'!J18&gt;0,'4Instances'!J18,"")</f>
        <v>H3</v>
      </c>
      <c r="E18" s="11">
        <v>6</v>
      </c>
    </row>
    <row r="19" spans="3:5" x14ac:dyDescent="0.25">
      <c r="C19" t="str">
        <f>IF('4Instances'!J19&gt;0,'4Instances'!J19,"")</f>
        <v>H4</v>
      </c>
      <c r="E19" s="11">
        <v>6</v>
      </c>
    </row>
    <row r="20" spans="3:5" x14ac:dyDescent="0.25">
      <c r="C20" t="str">
        <f>IF('4Instances'!J20&gt;0,'4Instances'!J20,"")</f>
        <v>H5</v>
      </c>
      <c r="E20" s="11">
        <v>6</v>
      </c>
    </row>
    <row r="21" spans="3:5" x14ac:dyDescent="0.25">
      <c r="C21" t="str">
        <f>IF('4Instances'!J21&gt;0,'4Instances'!J21,"")</f>
        <v>H6</v>
      </c>
      <c r="E21" s="11">
        <v>6</v>
      </c>
    </row>
    <row r="22" spans="3:5" x14ac:dyDescent="0.25">
      <c r="C22" t="str">
        <f>IF('4Instances'!J22&gt;0,'4Instances'!J22,"")</f>
        <v>B1</v>
      </c>
      <c r="E22" s="11">
        <v>6</v>
      </c>
    </row>
    <row r="23" spans="3:5" x14ac:dyDescent="0.25">
      <c r="C23" t="str">
        <f>IF('4Instances'!J23&gt;0,'4Instances'!J23,"")</f>
        <v>B2</v>
      </c>
      <c r="E23" s="11">
        <v>6</v>
      </c>
    </row>
    <row r="24" spans="3:5" x14ac:dyDescent="0.25">
      <c r="C24" t="str">
        <f>IF('4Instances'!J24&gt;0,'4Instances'!J24,"")</f>
        <v>B3</v>
      </c>
      <c r="E24" s="11">
        <v>6</v>
      </c>
    </row>
    <row r="25" spans="3:5" x14ac:dyDescent="0.25">
      <c r="C25" t="str">
        <f>IF('4Instances'!J25&gt;0,'4Instances'!J25,"")</f>
        <v>B4</v>
      </c>
      <c r="E25" s="11">
        <v>6</v>
      </c>
    </row>
    <row r="26" spans="3:5" x14ac:dyDescent="0.25">
      <c r="C26" t="str">
        <f>IF('4Instances'!J26&gt;0,'4Instances'!J26,"")</f>
        <v>B5</v>
      </c>
      <c r="E26" s="11">
        <v>6</v>
      </c>
    </row>
    <row r="27" spans="3:5" x14ac:dyDescent="0.25">
      <c r="C27" t="str">
        <f>IF('4Instances'!J27&gt;0,'4Instances'!J27,"")</f>
        <v>C1</v>
      </c>
      <c r="E27" s="11">
        <v>6</v>
      </c>
    </row>
    <row r="28" spans="3:5" x14ac:dyDescent="0.25">
      <c r="C28" t="str">
        <f>IF('4Instances'!J28&gt;0,'4Instances'!J28,"")</f>
        <v/>
      </c>
    </row>
    <row r="29" spans="3:5" x14ac:dyDescent="0.25">
      <c r="C29" t="str">
        <f>IF('4Instances'!J29&gt;0,'4Instances'!J29,"")</f>
        <v/>
      </c>
    </row>
    <row r="30" spans="3:5" x14ac:dyDescent="0.25">
      <c r="C30" t="str">
        <f>IF('4Instances'!J30&gt;0,'4Instances'!J30,"")</f>
        <v/>
      </c>
    </row>
    <row r="31" spans="3:5" x14ac:dyDescent="0.25">
      <c r="C31" t="str">
        <f>IF('4Instances'!J31&gt;0,'4Instances'!J31,"")</f>
        <v/>
      </c>
    </row>
    <row r="32" spans="3:5" x14ac:dyDescent="0.25">
      <c r="C32" t="str">
        <f>IF('4Instances'!J32&gt;0,'4Instances'!J32,"")</f>
        <v/>
      </c>
    </row>
    <row r="33" spans="3:3" x14ac:dyDescent="0.25">
      <c r="C33" t="str">
        <f>IF('4Instances'!J33&gt;0,'4Instances'!J33,"")</f>
        <v/>
      </c>
    </row>
    <row r="34" spans="3:3" x14ac:dyDescent="0.25">
      <c r="C34" t="str">
        <f>IF('4Instances'!J34&gt;0,'4Instances'!J34,"")</f>
        <v/>
      </c>
    </row>
    <row r="35" spans="3:3" x14ac:dyDescent="0.25">
      <c r="C35" t="str">
        <f>IF('4Instances'!J35&gt;0,'4Instances'!J35,"")</f>
        <v/>
      </c>
    </row>
    <row r="36" spans="3:3" x14ac:dyDescent="0.25">
      <c r="C36" t="str">
        <f>IF('4Instances'!J36&gt;0,'4Instances'!J36,"")</f>
        <v/>
      </c>
    </row>
    <row r="37" spans="3:3" x14ac:dyDescent="0.25">
      <c r="C37" t="str">
        <f>IF('4Instances'!J37&gt;0,'4Instances'!J37,"")</f>
        <v/>
      </c>
    </row>
    <row r="38" spans="3:3" x14ac:dyDescent="0.25">
      <c r="C38" t="str">
        <f>IF('4Instances'!J38&gt;0,'4Instances'!J38,"")</f>
        <v/>
      </c>
    </row>
    <row r="39" spans="3:3" x14ac:dyDescent="0.25">
      <c r="C39" t="str">
        <f>IF('4Instances'!J39&gt;0,'4Instances'!J39,"")</f>
        <v/>
      </c>
    </row>
    <row r="40" spans="3:3" x14ac:dyDescent="0.25">
      <c r="C40" t="str">
        <f>IF('4Instances'!J40&gt;0,'4Instances'!J40,"")</f>
        <v/>
      </c>
    </row>
    <row r="41" spans="3:3" x14ac:dyDescent="0.25">
      <c r="C41" t="str">
        <f>IF('4Instances'!J41&gt;0,'4Instances'!J41,"")</f>
        <v/>
      </c>
    </row>
    <row r="42" spans="3:3" x14ac:dyDescent="0.25">
      <c r="C42" t="str">
        <f>IF('4Instances'!G42&gt;0,'4Instances'!G42,"")</f>
        <v/>
      </c>
    </row>
  </sheetData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M38"/>
  <sheetViews>
    <sheetView workbookViewId="0">
      <pane xSplit="4" ySplit="4" topLeftCell="E5" activePane="bottomRight" state="frozen"/>
      <selection pane="topRight" activeCell="D1" sqref="D1"/>
      <selection pane="bottomLeft" activeCell="A4" sqref="A4"/>
      <selection pane="bottomRight" activeCell="L25" sqref="L25"/>
    </sheetView>
  </sheetViews>
  <sheetFormatPr baseColWidth="10" defaultColWidth="9.140625" defaultRowHeight="15" x14ac:dyDescent="0.25"/>
  <cols>
    <col min="1" max="3" width="9.140625" style="15"/>
    <col min="4" max="4" width="16.7109375" style="17" customWidth="1"/>
    <col min="5" max="6" width="9.140625" style="24" customWidth="1"/>
    <col min="7" max="16384" width="9.140625" style="15"/>
  </cols>
  <sheetData>
    <row r="1" spans="1:13" x14ac:dyDescent="0.25">
      <c r="A1" s="15" t="s">
        <v>103</v>
      </c>
      <c r="B1" s="15" t="s">
        <v>107</v>
      </c>
    </row>
    <row r="3" spans="1:13" x14ac:dyDescent="0.25">
      <c r="C3" s="15" t="s">
        <v>108</v>
      </c>
      <c r="D3" s="18" t="s">
        <v>0</v>
      </c>
      <c r="E3" s="25"/>
      <c r="F3" s="25"/>
    </row>
    <row r="4" spans="1:13" s="22" customFormat="1" x14ac:dyDescent="0.25">
      <c r="A4" s="19"/>
      <c r="B4" s="19"/>
      <c r="C4" s="20" t="s">
        <v>101</v>
      </c>
      <c r="D4" s="21"/>
      <c r="E4" s="22" t="str">
        <f>IF('4Instances'!D5&gt;0,'4Instances'!D5,"")</f>
        <v>start</v>
      </c>
      <c r="F4" s="22" t="str">
        <f>IF('4Instances'!D6&gt;0,'4Instances'!D6,"")</f>
        <v>end</v>
      </c>
      <c r="G4" s="22" t="str">
        <f>IF('4Instances'!D7&gt;0,'4Instances'!D7,"")</f>
        <v>Fd1</v>
      </c>
      <c r="H4" s="22" t="str">
        <f>IF('4Instances'!D8&gt;0,'4Instances'!D8,"")</f>
        <v>Fd2</v>
      </c>
      <c r="I4" s="22" t="str">
        <f>IF('4Instances'!D9&gt;0,'4Instances'!D9,"")</f>
        <v>Fi1</v>
      </c>
      <c r="J4" s="22" t="str">
        <f>IF('4Instances'!D10&gt;0,'4Instances'!D10,"")</f>
        <v>Fi2</v>
      </c>
      <c r="K4" s="22" t="str">
        <f>IF('4Instances'!D11&gt;0,'4Instances'!D11,"")</f>
        <v>Fl1</v>
      </c>
      <c r="L4" s="22" t="str">
        <f>IF('4Instances'!D12&gt;0,'4Instances'!D12,"")</f>
        <v>Fl2</v>
      </c>
      <c r="M4" s="22" t="str">
        <f>IF('4Instances'!D13&gt;0,'4Instances'!D13,"")</f>
        <v>Fc1</v>
      </c>
    </row>
    <row r="5" spans="1:13" x14ac:dyDescent="0.25">
      <c r="D5" s="17" t="str">
        <f>IF('4Instances'!M5&gt;0,'4Instances'!M5,"")</f>
        <v>specA1</v>
      </c>
      <c r="E5" s="24" t="s">
        <v>2</v>
      </c>
      <c r="F5" s="24" t="s">
        <v>2</v>
      </c>
      <c r="G5" s="15" t="s">
        <v>2</v>
      </c>
      <c r="I5" s="15" t="s">
        <v>2</v>
      </c>
      <c r="K5" s="15" t="s">
        <v>2</v>
      </c>
    </row>
    <row r="6" spans="1:13" x14ac:dyDescent="0.25">
      <c r="D6" s="17" t="str">
        <f>IF('4Instances'!M6&gt;0,'4Instances'!M6,"")</f>
        <v>specA2</v>
      </c>
      <c r="E6" s="24" t="s">
        <v>2</v>
      </c>
      <c r="F6" s="24" t="s">
        <v>2</v>
      </c>
      <c r="H6" s="15" t="s">
        <v>2</v>
      </c>
      <c r="J6" s="15" t="s">
        <v>2</v>
      </c>
      <c r="L6" s="15" t="s">
        <v>2</v>
      </c>
    </row>
    <row r="7" spans="1:13" x14ac:dyDescent="0.25">
      <c r="D7" s="17" t="s">
        <v>116</v>
      </c>
      <c r="E7" s="24" t="s">
        <v>2</v>
      </c>
      <c r="F7" s="24" t="s">
        <v>2</v>
      </c>
      <c r="G7" s="15" t="s">
        <v>2</v>
      </c>
      <c r="J7" s="15" t="s">
        <v>2</v>
      </c>
      <c r="K7" s="15" t="s">
        <v>2</v>
      </c>
    </row>
    <row r="8" spans="1:13" x14ac:dyDescent="0.25">
      <c r="D8" s="17" t="str">
        <f>IF('4Instances'!M8&gt;0,'4Instances'!M8,"")</f>
        <v>specB2</v>
      </c>
      <c r="E8" s="24" t="s">
        <v>2</v>
      </c>
      <c r="F8" s="24" t="s">
        <v>2</v>
      </c>
      <c r="G8" s="15" t="s">
        <v>2</v>
      </c>
      <c r="K8" s="15" t="s">
        <v>2</v>
      </c>
      <c r="M8" s="15" t="s">
        <v>2</v>
      </c>
    </row>
    <row r="9" spans="1:13" x14ac:dyDescent="0.25">
      <c r="D9" s="17" t="str">
        <f>IF('4Instances'!M9&gt;0,'4Instances'!M9,"")</f>
        <v/>
      </c>
    </row>
    <row r="10" spans="1:13" x14ac:dyDescent="0.25">
      <c r="D10" s="17" t="str">
        <f>IF('4Instances'!M10&gt;0,'4Instances'!M10,"")</f>
        <v/>
      </c>
    </row>
    <row r="11" spans="1:13" x14ac:dyDescent="0.25">
      <c r="D11" s="17" t="str">
        <f>IF('4Instances'!M11&gt;0,'4Instances'!M11,"")</f>
        <v/>
      </c>
    </row>
    <row r="12" spans="1:13" x14ac:dyDescent="0.25">
      <c r="D12" s="17" t="str">
        <f>IF('4Instances'!M12&gt;0,'4Instances'!M12,"")</f>
        <v/>
      </c>
    </row>
    <row r="13" spans="1:13" x14ac:dyDescent="0.25">
      <c r="D13" s="17" t="str">
        <f>IF('4Instances'!M13&gt;0,'4Instances'!M13,"")</f>
        <v/>
      </c>
    </row>
    <row r="14" spans="1:13" x14ac:dyDescent="0.25">
      <c r="D14" s="17" t="str">
        <f>IF('4Instances'!M14&gt;0,'4Instances'!M14,"")</f>
        <v/>
      </c>
    </row>
    <row r="15" spans="1:13" x14ac:dyDescent="0.25">
      <c r="D15" s="17" t="str">
        <f>IF('4Instances'!M15&gt;0,'4Instances'!M15,"")</f>
        <v/>
      </c>
    </row>
    <row r="16" spans="1:13" x14ac:dyDescent="0.25">
      <c r="D16" s="17" t="str">
        <f>IF('4Instances'!M16&gt;0,'4Instances'!M16,"")</f>
        <v/>
      </c>
    </row>
    <row r="17" spans="4:4" x14ac:dyDescent="0.25">
      <c r="D17" s="17" t="str">
        <f>IF('4Instances'!M17&gt;0,'4Instances'!M17,"")</f>
        <v/>
      </c>
    </row>
    <row r="18" spans="4:4" x14ac:dyDescent="0.25">
      <c r="D18" s="17" t="str">
        <f>IF('4Instances'!M18&gt;0,'4Instances'!M18,"")</f>
        <v/>
      </c>
    </row>
    <row r="19" spans="4:4" x14ac:dyDescent="0.25">
      <c r="D19" s="17" t="str">
        <f>IF('4Instances'!M19&gt;0,'4Instances'!M19,"")</f>
        <v/>
      </c>
    </row>
    <row r="20" spans="4:4" x14ac:dyDescent="0.25">
      <c r="D20" s="17" t="str">
        <f>IF('4Instances'!M20&gt;0,'4Instances'!M20,"")</f>
        <v/>
      </c>
    </row>
    <row r="21" spans="4:4" x14ac:dyDescent="0.25">
      <c r="D21" s="17" t="str">
        <f>IF('4Instances'!M21&gt;0,'4Instances'!M21,"")</f>
        <v/>
      </c>
    </row>
    <row r="22" spans="4:4" x14ac:dyDescent="0.25">
      <c r="D22" s="17" t="str">
        <f>IF('4Instances'!M22&gt;0,'4Instances'!M22,"")</f>
        <v/>
      </c>
    </row>
    <row r="23" spans="4:4" x14ac:dyDescent="0.25">
      <c r="D23" s="17" t="str">
        <f>IF('4Instances'!M23&gt;0,'4Instances'!M23,"")</f>
        <v/>
      </c>
    </row>
    <row r="24" spans="4:4" x14ac:dyDescent="0.25">
      <c r="D24" s="17" t="str">
        <f>IF('4Instances'!M24&gt;0,'4Instances'!M24,"")</f>
        <v/>
      </c>
    </row>
    <row r="25" spans="4:4" x14ac:dyDescent="0.25">
      <c r="D25" s="17" t="str">
        <f>IF('4Instances'!M25&gt;0,'4Instances'!M25,"")</f>
        <v/>
      </c>
    </row>
    <row r="26" spans="4:4" x14ac:dyDescent="0.25">
      <c r="D26" s="17" t="str">
        <f>IF('4Instances'!M26&gt;0,'4Instances'!M26,"")</f>
        <v/>
      </c>
    </row>
    <row r="27" spans="4:4" x14ac:dyDescent="0.25">
      <c r="D27" s="17" t="str">
        <f>IF('4Instances'!M27&gt;0,'4Instances'!M27,"")</f>
        <v/>
      </c>
    </row>
    <row r="28" spans="4:4" x14ac:dyDescent="0.25">
      <c r="D28" s="17" t="str">
        <f>IF('4Instances'!M28&gt;0,'4Instances'!M28,"")</f>
        <v/>
      </c>
    </row>
    <row r="29" spans="4:4" x14ac:dyDescent="0.25">
      <c r="D29" s="17" t="str">
        <f>IF('4Instances'!M29&gt;0,'4Instances'!M29,"")</f>
        <v/>
      </c>
    </row>
    <row r="30" spans="4:4" x14ac:dyDescent="0.25">
      <c r="D30" s="17" t="str">
        <f>IF('4Instances'!M30&gt;0,'4Instances'!M30,"")</f>
        <v/>
      </c>
    </row>
    <row r="31" spans="4:4" x14ac:dyDescent="0.25">
      <c r="D31" s="17" t="str">
        <f>IF('4Instances'!M31&gt;0,'4Instances'!M31,"")</f>
        <v/>
      </c>
    </row>
    <row r="32" spans="4:4" x14ac:dyDescent="0.25">
      <c r="D32" s="17" t="str">
        <f>IF('4Instances'!M32&gt;0,'4Instances'!M32,"")</f>
        <v/>
      </c>
    </row>
    <row r="33" spans="4:4" x14ac:dyDescent="0.25">
      <c r="D33" s="17" t="str">
        <f>IF('4Instances'!M33&gt;0,'4Instances'!M33,"")</f>
        <v/>
      </c>
    </row>
    <row r="34" spans="4:4" x14ac:dyDescent="0.25">
      <c r="D34" s="17" t="str">
        <f>IF('4Instances'!M34&gt;0,'4Instances'!M34,"")</f>
        <v/>
      </c>
    </row>
    <row r="35" spans="4:4" x14ac:dyDescent="0.25">
      <c r="D35" s="17" t="str">
        <f>IF('4Instances'!M35&gt;0,'4Instances'!M35,"")</f>
        <v/>
      </c>
    </row>
    <row r="36" spans="4:4" x14ac:dyDescent="0.25">
      <c r="D36" s="17" t="str">
        <f>IF('4Instances'!M36&gt;0,'4Instances'!M36,"")</f>
        <v/>
      </c>
    </row>
    <row r="37" spans="4:4" x14ac:dyDescent="0.25">
      <c r="D37" s="17" t="str">
        <f>IF('4Instances'!M37&gt;0,'4Instances'!M37,"")</f>
        <v/>
      </c>
    </row>
    <row r="38" spans="4:4" x14ac:dyDescent="0.25">
      <c r="D38" s="17" t="str">
        <f>IF('4Instances'!M38&gt;0,'4Instances'!M38,"")</f>
        <v/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S42"/>
  <sheetViews>
    <sheetView workbookViewId="0">
      <pane ySplit="4" topLeftCell="A5" activePane="bottomLeft" state="frozen"/>
      <selection pane="bottomLeft" activeCell="E4" sqref="E4"/>
    </sheetView>
  </sheetViews>
  <sheetFormatPr baseColWidth="10" defaultRowHeight="15" x14ac:dyDescent="0.25"/>
  <cols>
    <col min="4" max="4" width="3.7109375" style="8" customWidth="1"/>
    <col min="5" max="5" width="18.7109375" bestFit="1" customWidth="1"/>
    <col min="6" max="6" width="3.7109375" style="8" customWidth="1"/>
    <col min="7" max="7" width="11.42578125" style="15"/>
    <col min="8" max="8" width="3.7109375" style="8" customWidth="1"/>
    <col min="10" max="10" width="3.7109375" style="8" customWidth="1"/>
    <col min="11" max="11" width="11.42578125" style="15"/>
    <col min="12" max="12" width="3.7109375" style="8" customWidth="1"/>
    <col min="15" max="15" width="11.42578125" style="15"/>
    <col min="19" max="19" width="11.42578125" style="15"/>
  </cols>
  <sheetData>
    <row r="1" spans="1:19" x14ac:dyDescent="0.25">
      <c r="A1" t="s">
        <v>104</v>
      </c>
      <c r="B1" t="s">
        <v>107</v>
      </c>
    </row>
    <row r="3" spans="1:19" x14ac:dyDescent="0.25">
      <c r="E3" s="7" t="s">
        <v>172</v>
      </c>
    </row>
    <row r="4" spans="1:19" s="7" customFormat="1" x14ac:dyDescent="0.25">
      <c r="D4" s="9"/>
      <c r="E4" s="10" t="s">
        <v>171</v>
      </c>
      <c r="F4" s="9"/>
      <c r="G4" s="14"/>
      <c r="H4" s="9"/>
      <c r="J4" s="9"/>
      <c r="K4" s="14"/>
      <c r="L4" s="9"/>
      <c r="O4" s="14"/>
      <c r="S4" s="14"/>
    </row>
    <row r="5" spans="1:19" x14ac:dyDescent="0.25">
      <c r="C5" t="str">
        <f>IF('4Instances'!M5&gt;0,'4Instances'!M5,"")</f>
        <v>specA1</v>
      </c>
      <c r="E5" s="11" t="s">
        <v>170</v>
      </c>
    </row>
    <row r="6" spans="1:19" x14ac:dyDescent="0.25">
      <c r="C6" t="str">
        <f>IF('4Instances'!M6&gt;0,'4Instances'!M6,"")</f>
        <v>specA2</v>
      </c>
      <c r="E6" s="11" t="s">
        <v>170</v>
      </c>
    </row>
    <row r="7" spans="1:19" x14ac:dyDescent="0.25">
      <c r="C7" t="str">
        <f>IF('4Instances'!M7&gt;0,'4Instances'!M7,"")</f>
        <v>specB1</v>
      </c>
      <c r="E7" s="11" t="s">
        <v>170</v>
      </c>
    </row>
    <row r="8" spans="1:19" x14ac:dyDescent="0.25">
      <c r="C8" t="str">
        <f>IF('4Instances'!M8&gt;0,'4Instances'!M8,"")</f>
        <v>specB2</v>
      </c>
      <c r="E8" s="11" t="s">
        <v>170</v>
      </c>
    </row>
    <row r="9" spans="1:19" x14ac:dyDescent="0.25">
      <c r="C9" t="str">
        <f>IF('4Instances'!M9&gt;0,'4Instances'!M9,"")</f>
        <v/>
      </c>
      <c r="E9" s="11"/>
    </row>
    <row r="10" spans="1:19" x14ac:dyDescent="0.25">
      <c r="C10" t="str">
        <f>IF('4Instances'!M10&gt;0,'4Instances'!M10,"")</f>
        <v/>
      </c>
      <c r="E10" s="11"/>
    </row>
    <row r="11" spans="1:19" x14ac:dyDescent="0.25">
      <c r="C11" t="str">
        <f>IF('4Instances'!M11&gt;0,'4Instances'!M11,"")</f>
        <v/>
      </c>
      <c r="E11" s="11"/>
    </row>
    <row r="12" spans="1:19" x14ac:dyDescent="0.25">
      <c r="C12" t="str">
        <f>IF('4Instances'!M12&gt;0,'4Instances'!M12,"")</f>
        <v/>
      </c>
      <c r="E12" s="11"/>
    </row>
    <row r="13" spans="1:19" x14ac:dyDescent="0.25">
      <c r="C13" t="str">
        <f>IF('4Instances'!M13&gt;0,'4Instances'!M13,"")</f>
        <v/>
      </c>
      <c r="E13" s="11"/>
    </row>
    <row r="14" spans="1:19" x14ac:dyDescent="0.25">
      <c r="C14" t="str">
        <f>IF('4Instances'!M14&gt;0,'4Instances'!M14,"")</f>
        <v/>
      </c>
      <c r="E14" s="11"/>
    </row>
    <row r="15" spans="1:19" x14ac:dyDescent="0.25">
      <c r="C15" t="str">
        <f>IF('4Instances'!M15&gt;0,'4Instances'!M15,"")</f>
        <v/>
      </c>
      <c r="E15" s="11"/>
    </row>
    <row r="16" spans="1:19" x14ac:dyDescent="0.25">
      <c r="C16" t="str">
        <f>IF('4Instances'!M16&gt;0,'4Instances'!M16,"")</f>
        <v/>
      </c>
      <c r="E16" s="11"/>
    </row>
    <row r="17" spans="3:5" x14ac:dyDescent="0.25">
      <c r="C17" t="str">
        <f>IF('4Instances'!M17&gt;0,'4Instances'!M17,"")</f>
        <v/>
      </c>
      <c r="E17" s="11"/>
    </row>
    <row r="18" spans="3:5" x14ac:dyDescent="0.25">
      <c r="C18" t="str">
        <f>IF('4Instances'!M18&gt;0,'4Instances'!M18,"")</f>
        <v/>
      </c>
      <c r="E18" s="11"/>
    </row>
    <row r="19" spans="3:5" x14ac:dyDescent="0.25">
      <c r="C19" t="str">
        <f>IF('4Instances'!M19&gt;0,'4Instances'!M19,"")</f>
        <v/>
      </c>
      <c r="E19" s="11"/>
    </row>
    <row r="20" spans="3:5" x14ac:dyDescent="0.25">
      <c r="C20" t="str">
        <f>IF('4Instances'!M20&gt;0,'4Instances'!M20,"")</f>
        <v/>
      </c>
      <c r="E20" s="11"/>
    </row>
    <row r="21" spans="3:5" x14ac:dyDescent="0.25">
      <c r="C21" t="str">
        <f>IF('4Instances'!M21&gt;0,'4Instances'!M21,"")</f>
        <v/>
      </c>
      <c r="E21" s="11"/>
    </row>
    <row r="22" spans="3:5" x14ac:dyDescent="0.25">
      <c r="C22" t="str">
        <f>IF('4Instances'!M22&gt;0,'4Instances'!M22,"")</f>
        <v/>
      </c>
      <c r="E22" s="11"/>
    </row>
    <row r="23" spans="3:5" x14ac:dyDescent="0.25">
      <c r="C23" t="str">
        <f>IF('4Instances'!M23&gt;0,'4Instances'!M23,"")</f>
        <v/>
      </c>
      <c r="E23" s="11"/>
    </row>
    <row r="24" spans="3:5" x14ac:dyDescent="0.25">
      <c r="C24" t="str">
        <f>IF('4Instances'!M24&gt;0,'4Instances'!M24,"")</f>
        <v/>
      </c>
      <c r="E24" s="11"/>
    </row>
    <row r="25" spans="3:5" x14ac:dyDescent="0.25">
      <c r="C25" t="str">
        <f>IF('4Instances'!M25&gt;0,'4Instances'!M25,"")</f>
        <v/>
      </c>
      <c r="E25" s="11"/>
    </row>
    <row r="26" spans="3:5" x14ac:dyDescent="0.25">
      <c r="C26" t="str">
        <f>IF('4Instances'!M26&gt;0,'4Instances'!M26,"")</f>
        <v/>
      </c>
      <c r="E26" s="11"/>
    </row>
    <row r="27" spans="3:5" x14ac:dyDescent="0.25">
      <c r="C27" t="str">
        <f>IF('4Instances'!M27&gt;0,'4Instances'!M27,"")</f>
        <v/>
      </c>
      <c r="E27" s="11"/>
    </row>
    <row r="28" spans="3:5" x14ac:dyDescent="0.25">
      <c r="C28" t="str">
        <f>IF('4Instances'!J28&gt;0,'4Instances'!J28,"")</f>
        <v/>
      </c>
    </row>
    <row r="29" spans="3:5" x14ac:dyDescent="0.25">
      <c r="C29" t="str">
        <f>IF('4Instances'!J29&gt;0,'4Instances'!J29,"")</f>
        <v/>
      </c>
    </row>
    <row r="30" spans="3:5" x14ac:dyDescent="0.25">
      <c r="C30" t="str">
        <f>IF('4Instances'!J30&gt;0,'4Instances'!J30,"")</f>
        <v/>
      </c>
    </row>
    <row r="31" spans="3:5" x14ac:dyDescent="0.25">
      <c r="C31" t="str">
        <f>IF('4Instances'!J31&gt;0,'4Instances'!J31,"")</f>
        <v/>
      </c>
    </row>
    <row r="32" spans="3:5" x14ac:dyDescent="0.25">
      <c r="C32" t="str">
        <f>IF('4Instances'!J32&gt;0,'4Instances'!J32,"")</f>
        <v/>
      </c>
    </row>
    <row r="33" spans="3:3" x14ac:dyDescent="0.25">
      <c r="C33" t="str">
        <f>IF('4Instances'!J33&gt;0,'4Instances'!J33,"")</f>
        <v/>
      </c>
    </row>
    <row r="34" spans="3:3" x14ac:dyDescent="0.25">
      <c r="C34" t="str">
        <f>IF('4Instances'!J34&gt;0,'4Instances'!J34,"")</f>
        <v/>
      </c>
    </row>
    <row r="35" spans="3:3" x14ac:dyDescent="0.25">
      <c r="C35" t="str">
        <f>IF('4Instances'!J35&gt;0,'4Instances'!J35,"")</f>
        <v/>
      </c>
    </row>
    <row r="36" spans="3:3" x14ac:dyDescent="0.25">
      <c r="C36" t="str">
        <f>IF('4Instances'!J36&gt;0,'4Instances'!J36,"")</f>
        <v/>
      </c>
    </row>
    <row r="37" spans="3:3" x14ac:dyDescent="0.25">
      <c r="C37" t="str">
        <f>IF('4Instances'!J37&gt;0,'4Instances'!J37,"")</f>
        <v/>
      </c>
    </row>
    <row r="38" spans="3:3" x14ac:dyDescent="0.25">
      <c r="C38" t="str">
        <f>IF('4Instances'!J38&gt;0,'4Instances'!J38,"")</f>
        <v/>
      </c>
    </row>
    <row r="39" spans="3:3" x14ac:dyDescent="0.25">
      <c r="C39" t="str">
        <f>IF('4Instances'!J39&gt;0,'4Instances'!J39,"")</f>
        <v/>
      </c>
    </row>
    <row r="40" spans="3:3" x14ac:dyDescent="0.25">
      <c r="C40" t="str">
        <f>IF('4Instances'!J40&gt;0,'4Instances'!J40,"")</f>
        <v/>
      </c>
    </row>
    <row r="41" spans="3:3" x14ac:dyDescent="0.25">
      <c r="C41" t="str">
        <f>IF('4Instances'!J41&gt;0,'4Instances'!J41,"")</f>
        <v/>
      </c>
    </row>
    <row r="42" spans="3:3" x14ac:dyDescent="0.25">
      <c r="C42" t="str">
        <f>IF('4Instances'!G42&gt;0,'4Instances'!G42,"")</f>
        <v/>
      </c>
    </row>
  </sheetData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0Prefixes</vt:lpstr>
      <vt:lpstr>1Classes</vt:lpstr>
      <vt:lpstr>2ObjectProperties</vt:lpstr>
      <vt:lpstr>3DatatypeProperties</vt:lpstr>
      <vt:lpstr>4Instances</vt:lpstr>
      <vt:lpstr>FeatProcMapping</vt:lpstr>
      <vt:lpstr>ProcResMapping</vt:lpstr>
      <vt:lpstr>FeatFeatMetaRequires</vt:lpstr>
      <vt:lpstr>FeatFeatMetaConflicts</vt:lpstr>
      <vt:lpstr>FeatFeatMetaPrecedes</vt:lpstr>
      <vt:lpstr>ProcProcMetaMapping</vt:lpstr>
      <vt:lpstr>ResLayout</vt:lpstr>
      <vt:lpstr>ProcessFunctional</vt:lpstr>
      <vt:lpstr>ResourceFunctional</vt:lpstr>
      <vt:lpstr>SpecFeatMapping</vt:lpstr>
      <vt:lpstr>SpecFunctional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2019-05-18T13:27:07Z</dcterms:modified>
</cp:coreProperties>
</file>